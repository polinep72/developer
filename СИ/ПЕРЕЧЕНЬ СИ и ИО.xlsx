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24226"/>
  <bookViews>
    <workbookView xWindow="0" yWindow="0" windowWidth="28800" windowHeight="12180" tabRatio="504" activeTab="2"/>
  </bookViews>
  <sheets>
    <sheet name="СИ" sheetId="1" r:id="rId1"/>
    <sheet name="ИО" sheetId="2" r:id="rId2"/>
    <sheet name="ВО" sheetId="3" r:id="rId3"/>
  </sheets>
  <definedNames>
    <definedName name="_xlnm._FilterDatabase" localSheetId="2" hidden="1">ВО!$A$1:$F$10</definedName>
    <definedName name="_xlnm._FilterDatabase" localSheetId="1" hidden="1">ИО!$A$1:$K$3</definedName>
    <definedName name="_xlnm._FilterDatabase" localSheetId="0" hidden="1">СИ!$A$2:$M$27</definedName>
    <definedName name="data">СИ!$B$1</definedName>
    <definedName name="_xlnm.Print_Titles" localSheetId="2">ВО!$1:$1</definedName>
    <definedName name="_xlnm.Print_Titles" localSheetId="1">ИО!$1:$1</definedName>
    <definedName name="_xlnm.Print_Titles" localSheetId="0">СИ!$2:$2</definedName>
    <definedName name="_xlnm.Print_Area" localSheetId="1">ИО!$A$1:$K$3</definedName>
    <definedName name="_xlnm.Print_Area" localSheetId="0">СИ!$A$1:$M$15</definedName>
  </definedNames>
  <calcPr calcId="162913"/>
</workbook>
</file>

<file path=xl/calcChain.xml><?xml version="1.0" encoding="utf-8"?>
<calcChain xmlns="http://schemas.openxmlformats.org/spreadsheetml/2006/main">
  <c r="H25" i="1" l="1"/>
  <c r="H26" i="1"/>
  <c r="H9" i="1" l="1"/>
  <c r="H28" i="1" l="1"/>
  <c r="H73" i="1"/>
  <c r="H82" i="1"/>
  <c r="H29" i="1"/>
  <c r="H30" i="1"/>
  <c r="H66" i="1"/>
  <c r="H3" i="1"/>
  <c r="H52" i="1"/>
  <c r="H50" i="1"/>
  <c r="H59" i="1"/>
  <c r="H18" i="1"/>
  <c r="H60" i="1"/>
  <c r="H61" i="1"/>
  <c r="H62" i="1"/>
  <c r="H63" i="1"/>
  <c r="H64" i="1"/>
  <c r="H46" i="1"/>
  <c r="H47" i="1"/>
  <c r="H37" i="1"/>
  <c r="H80" i="1"/>
  <c r="H49" i="1"/>
  <c r="H77" i="1"/>
  <c r="H21" i="1"/>
  <c r="H41" i="1"/>
  <c r="H67" i="1"/>
  <c r="H68" i="1"/>
  <c r="H69" i="1"/>
  <c r="H70" i="1"/>
  <c r="H36" i="1"/>
  <c r="H24" i="1"/>
  <c r="H74" i="1"/>
  <c r="H75" i="1"/>
  <c r="H76" i="1"/>
  <c r="H57" i="1"/>
  <c r="H58" i="1"/>
  <c r="H65" i="1"/>
  <c r="H42" i="1"/>
  <c r="H43" i="1"/>
  <c r="H31" i="1"/>
  <c r="H27" i="1"/>
  <c r="H83" i="1"/>
  <c r="H10" i="1"/>
  <c r="H22" i="1"/>
  <c r="H4" i="1"/>
  <c r="H48" i="1"/>
  <c r="H39" i="1"/>
  <c r="H38" i="1"/>
  <c r="H19" i="1"/>
  <c r="H71" i="1"/>
  <c r="H20" i="1"/>
  <c r="H23" i="1"/>
  <c r="H78" i="1"/>
  <c r="H79" i="1"/>
  <c r="H40" i="1"/>
  <c r="H44" i="1"/>
  <c r="H12" i="1"/>
  <c r="H45" i="1"/>
  <c r="H84" i="1"/>
  <c r="H81" i="1"/>
  <c r="H53" i="1"/>
  <c r="H54" i="1"/>
  <c r="H55" i="1"/>
  <c r="H56" i="1"/>
  <c r="H85" i="1"/>
  <c r="H86" i="1"/>
  <c r="H35" i="1"/>
  <c r="H5" i="1"/>
  <c r="H34" i="1"/>
  <c r="H7" i="1"/>
  <c r="H72" i="1"/>
  <c r="H32" i="1"/>
  <c r="H51" i="1"/>
  <c r="H33" i="1"/>
  <c r="H8" i="1"/>
  <c r="H6" i="1"/>
  <c r="H11" i="1"/>
  <c r="H16" i="1"/>
  <c r="H17" i="1"/>
  <c r="H15" i="1"/>
  <c r="H14" i="1"/>
  <c r="H13" i="1"/>
  <c r="B1" i="1" l="1"/>
  <c r="I9" i="1" l="1"/>
  <c r="I25" i="1"/>
  <c r="I26" i="1"/>
  <c r="I11" i="1"/>
  <c r="I16" i="1"/>
  <c r="I17" i="1"/>
  <c r="I15" i="1"/>
  <c r="I14" i="1"/>
  <c r="I13" i="1"/>
  <c r="I6" i="1"/>
  <c r="I5" i="1"/>
  <c r="I8" i="1"/>
  <c r="I35" i="1"/>
  <c r="I86" i="1"/>
  <c r="I32" i="1"/>
  <c r="I7" i="1"/>
  <c r="I33" i="1"/>
  <c r="I72" i="1"/>
  <c r="I34" i="1"/>
  <c r="I51" i="1"/>
  <c r="I85" i="1"/>
  <c r="I80" i="1"/>
  <c r="I79" i="1"/>
  <c r="I65" i="1"/>
  <c r="I43" i="1"/>
  <c r="I12" i="1"/>
  <c r="I84" i="1"/>
  <c r="I83" i="1"/>
  <c r="I82" i="1"/>
  <c r="I36" i="1"/>
  <c r="I22" i="1"/>
  <c r="I56" i="1"/>
  <c r="I37" i="1"/>
  <c r="I66" i="1"/>
  <c r="I39" i="1"/>
  <c r="I21" i="1"/>
  <c r="I42" i="1"/>
  <c r="I55" i="1"/>
  <c r="I30" i="1"/>
  <c r="I20" i="1"/>
  <c r="I73" i="1"/>
  <c r="I27" i="1"/>
  <c r="I4" i="1"/>
  <c r="I29" i="1"/>
  <c r="I45" i="1"/>
  <c r="I70" i="1"/>
  <c r="I78" i="1"/>
  <c r="I10" i="1"/>
  <c r="I44" i="1"/>
  <c r="I50" i="1"/>
  <c r="I58" i="1"/>
  <c r="I76" i="1"/>
  <c r="I19" i="1"/>
  <c r="I64" i="1"/>
  <c r="I71" i="1"/>
  <c r="I3" i="1"/>
  <c r="I52" i="1"/>
  <c r="I38" i="1"/>
  <c r="I49" i="1"/>
  <c r="I60" i="1"/>
  <c r="I69" i="1"/>
  <c r="I63" i="1"/>
  <c r="I47" i="1"/>
  <c r="I24" i="1"/>
  <c r="I59" i="1"/>
  <c r="I81" i="1"/>
  <c r="I61" i="1"/>
  <c r="I40" i="1"/>
  <c r="I62" i="1"/>
  <c r="I77" i="1"/>
  <c r="I28" i="1"/>
  <c r="I54" i="1"/>
  <c r="H3" i="2"/>
  <c r="I67" i="1"/>
  <c r="I74" i="1"/>
  <c r="I41" i="1"/>
  <c r="I31" i="1"/>
  <c r="I53" i="1"/>
  <c r="I75" i="1"/>
  <c r="I57" i="1"/>
  <c r="I23" i="1"/>
  <c r="I46" i="1"/>
  <c r="I18" i="1"/>
  <c r="H2" i="2"/>
  <c r="I48" i="1"/>
  <c r="I68" i="1"/>
</calcChain>
</file>

<file path=xl/sharedStrings.xml><?xml version="1.0" encoding="utf-8"?>
<sst xmlns="http://schemas.openxmlformats.org/spreadsheetml/2006/main" count="848" uniqueCount="630">
  <si>
    <t>№ п/п</t>
  </si>
  <si>
    <t>Примечание</t>
  </si>
  <si>
    <t>зав.№</t>
  </si>
  <si>
    <t>№
п/п</t>
  </si>
  <si>
    <t>36974-08</t>
  </si>
  <si>
    <t>Количество
дней
до
окончания
срока
аттестации</t>
  </si>
  <si>
    <t>Дата
очередной
аттестации</t>
  </si>
  <si>
    <t>Инв.
№</t>
  </si>
  <si>
    <t xml:space="preserve"> год
ввода
в
эксп.</t>
  </si>
  <si>
    <t>дата
проведения
аттестации</t>
  </si>
  <si>
    <t>№
аттестата</t>
  </si>
  <si>
    <t>1</t>
  </si>
  <si>
    <t>МПИ</t>
  </si>
  <si>
    <t>2724/М-24/МО</t>
  </si>
  <si>
    <t>144-1/16</t>
  </si>
  <si>
    <t>RSA3H260200006</t>
  </si>
  <si>
    <t>202106063120</t>
  </si>
  <si>
    <t>2</t>
  </si>
  <si>
    <t>БП-000064</t>
  </si>
  <si>
    <t>54631-13</t>
  </si>
  <si>
    <t>ВТРМ-3 ПП109</t>
  </si>
  <si>
    <t>ВТРМ-6 ПП109</t>
  </si>
  <si>
    <t>ВТРМ-7 ПП109</t>
  </si>
  <si>
    <t>Наименование СИ</t>
  </si>
  <si>
    <t>Обозначение типа СИ</t>
  </si>
  <si>
    <t>UT3005EP</t>
  </si>
  <si>
    <t>Источники питания</t>
  </si>
  <si>
    <t>DL3B252200379</t>
  </si>
  <si>
    <t>DP932A</t>
  </si>
  <si>
    <t xml:space="preserve">Электронная нагрузка с интерфейсами lan/digital io RIGOL </t>
  </si>
  <si>
    <t>DL3021A</t>
  </si>
  <si>
    <t>DP9A253800511</t>
  </si>
  <si>
    <t>Мультиметры цифровые</t>
  </si>
  <si>
    <t>RD701</t>
  </si>
  <si>
    <t>20125100402</t>
  </si>
  <si>
    <t>Осциллографы цифровые</t>
  </si>
  <si>
    <t>48469-11</t>
  </si>
  <si>
    <t>MSO5104</t>
  </si>
  <si>
    <t>БП-000088</t>
  </si>
  <si>
    <t>MS5A251001856</t>
  </si>
  <si>
    <t>НБ-1 (92029)</t>
  </si>
  <si>
    <t>16</t>
  </si>
  <si>
    <t>29967-05</t>
  </si>
  <si>
    <t>Генераторы сигналов специальной формы</t>
  </si>
  <si>
    <t>SFG-2110</t>
  </si>
  <si>
    <t>EM872979</t>
  </si>
  <si>
    <t>MY57386018</t>
  </si>
  <si>
    <t>Меры напряжения и тока</t>
  </si>
  <si>
    <t>E3632A</t>
  </si>
  <si>
    <t>26950-04</t>
  </si>
  <si>
    <t>Микроскоп</t>
  </si>
  <si>
    <t>ЭМ60 30</t>
  </si>
  <si>
    <t>Электронная нагрузка батарей</t>
  </si>
  <si>
    <t>ET5420A+</t>
  </si>
  <si>
    <t>09722321080</t>
  </si>
  <si>
    <t>DSO-X 3032A</t>
  </si>
  <si>
    <t>MY53400165</t>
  </si>
  <si>
    <t>48998-12</t>
  </si>
  <si>
    <t>DP832A</t>
  </si>
  <si>
    <t>DP8B233001492</t>
  </si>
  <si>
    <t>91448-24</t>
  </si>
  <si>
    <t>GDM-78255A</t>
  </si>
  <si>
    <t>PWS4323</t>
  </si>
  <si>
    <t>49916-12</t>
  </si>
  <si>
    <t>Источники питания программируемые</t>
  </si>
  <si>
    <t>C010803</t>
  </si>
  <si>
    <t>38428-08</t>
  </si>
  <si>
    <t>Вольтметры универсальные цифровые</t>
  </si>
  <si>
    <t>RL110157</t>
  </si>
  <si>
    <t>44402-10</t>
  </si>
  <si>
    <t>20125100417</t>
  </si>
  <si>
    <t>75840-19</t>
  </si>
  <si>
    <t>ZNA43</t>
  </si>
  <si>
    <t>Анализаторы цепей векторные</t>
  </si>
  <si>
    <t>101232</t>
  </si>
  <si>
    <t>U1732C</t>
  </si>
  <si>
    <t>Измерители RLC</t>
  </si>
  <si>
    <t>10149</t>
  </si>
  <si>
    <t>65890-16</t>
  </si>
  <si>
    <t>DP8B233101658</t>
  </si>
  <si>
    <t>DP711</t>
  </si>
  <si>
    <t>DP7A233001068</t>
  </si>
  <si>
    <t>Анализатор спектра Rigol</t>
  </si>
  <si>
    <t xml:space="preserve"> RSA3015E-TG</t>
  </si>
  <si>
    <t>MS8250D</t>
  </si>
  <si>
    <t>MCAE009936</t>
  </si>
  <si>
    <t>Цифровой осциллограф</t>
  </si>
  <si>
    <t>DSO4254C</t>
  </si>
  <si>
    <t>CN1734002000656</t>
  </si>
  <si>
    <t>Генератор сигналов специальной формы</t>
  </si>
  <si>
    <t>ArbStudio 1104</t>
  </si>
  <si>
    <t>LCRY2341/00481</t>
  </si>
  <si>
    <t>Источники питания постоянного тока</t>
  </si>
  <si>
    <t>АКИП-1118</t>
  </si>
  <si>
    <t>800199030787020005</t>
  </si>
  <si>
    <t xml:space="preserve"> 75676-19</t>
  </si>
  <si>
    <t>E3642A</t>
  </si>
  <si>
    <t>E3643A</t>
  </si>
  <si>
    <t>26951-04</t>
  </si>
  <si>
    <t>MY52500054</t>
  </si>
  <si>
    <t>MY53346003</t>
  </si>
  <si>
    <t>47185-11</t>
  </si>
  <si>
    <t>Р4М-18</t>
  </si>
  <si>
    <t>1102170233</t>
  </si>
  <si>
    <t>91351-24</t>
  </si>
  <si>
    <t>ZC16B3023420031</t>
  </si>
  <si>
    <t>Тепловизоры инфракрасные</t>
  </si>
  <si>
    <t>Guide H3</t>
  </si>
  <si>
    <t>79042-20</t>
  </si>
  <si>
    <t>Ваттметры поглощаемой мощности</t>
  </si>
  <si>
    <t>PLS26-13M</t>
  </si>
  <si>
    <t>1131210128</t>
  </si>
  <si>
    <t>БП-000061</t>
  </si>
  <si>
    <t>ВТРМ-2 ПП109</t>
  </si>
  <si>
    <t>БП-000087</t>
  </si>
  <si>
    <t>37008-08</t>
  </si>
  <si>
    <t>113209</t>
  </si>
  <si>
    <t>NRP-Z11</t>
  </si>
  <si>
    <t>Анализаторы спектра портативные</t>
  </si>
  <si>
    <t>Signal Hound USB-SA44B</t>
  </si>
  <si>
    <t>71344-18</t>
  </si>
  <si>
    <t>М3М-18</t>
  </si>
  <si>
    <t>Измерители мощности СВЧ</t>
  </si>
  <si>
    <t>2409210183</t>
  </si>
  <si>
    <t>20125100420</t>
  </si>
  <si>
    <t xml:space="preserve">Разводной ключ </t>
  </si>
  <si>
    <t>с тонкими губками 150 мм Inforce</t>
  </si>
  <si>
    <t>DP7A230600177</t>
  </si>
  <si>
    <t>GEN851998</t>
  </si>
  <si>
    <t>E3631A</t>
  </si>
  <si>
    <t>MY55226290</t>
  </si>
  <si>
    <t>MY532000037</t>
  </si>
  <si>
    <t>MY53130010</t>
  </si>
  <si>
    <t>GFC-8270H</t>
  </si>
  <si>
    <t>CJ860020</t>
  </si>
  <si>
    <t>Частотомеры универсальные</t>
  </si>
  <si>
    <t xml:space="preserve"> 19818-00</t>
  </si>
  <si>
    <t>34461A</t>
  </si>
  <si>
    <t>E3644A</t>
  </si>
  <si>
    <t>72879-18</t>
  </si>
  <si>
    <t>MY53070007</t>
  </si>
  <si>
    <t>MY5500624</t>
  </si>
  <si>
    <t>MY53226177</t>
  </si>
  <si>
    <t>33510B</t>
  </si>
  <si>
    <t xml:space="preserve"> 72915-18</t>
  </si>
  <si>
    <t xml:space="preserve"> Генераторы сигналов произвольной формы</t>
  </si>
  <si>
    <t>MY52200936</t>
  </si>
  <si>
    <t>C010796</t>
  </si>
  <si>
    <t>DSO-X 3034A</t>
  </si>
  <si>
    <t>MY51451753</t>
  </si>
  <si>
    <t>MY57390003</t>
  </si>
  <si>
    <t>N1922A</t>
  </si>
  <si>
    <t>76369-19</t>
  </si>
  <si>
    <t>Преобразователи измерительные ваттметров поглощаемой мощности</t>
  </si>
  <si>
    <t>DC-18GHz 50W coaxial fixed attenuator</t>
  </si>
  <si>
    <t>MFT180F050F40L</t>
  </si>
  <si>
    <t>KARN-50-18+</t>
  </si>
  <si>
    <t>31837</t>
  </si>
  <si>
    <t>Termination</t>
  </si>
  <si>
    <t>Directional coupler</t>
  </si>
  <si>
    <t>01817</t>
  </si>
  <si>
    <t>N1912A</t>
  </si>
  <si>
    <t>MY57340037</t>
  </si>
  <si>
    <t>57386-14</t>
  </si>
  <si>
    <t>N5183B</t>
  </si>
  <si>
    <t>79635-20</t>
  </si>
  <si>
    <t>Генераторы сигналов</t>
  </si>
  <si>
    <t>6653A</t>
  </si>
  <si>
    <t>MY57280387</t>
  </si>
  <si>
    <t>MY53000565</t>
  </si>
  <si>
    <t>+30…+250 C
100л</t>
  </si>
  <si>
    <t>Комплект коаксиальных аттенюаторов</t>
  </si>
  <si>
    <t>11583C</t>
  </si>
  <si>
    <t>11582A</t>
  </si>
  <si>
    <t>Набор из четырех аттенюаторов 8493C (3, 6, 10 и 20 дБ) (90270) с разъемами APC-3.5; идеально подходит для калибровочных лабораторий</t>
  </si>
  <si>
    <t>Набор из четырех аттенюаторов 8493C (3, 6, 10 и 20 дБ)  (90273) с разъемами APC-3.5; идеально подходит для калибровочных лабораторий</t>
  </si>
  <si>
    <t>Набор из четырех аттенюаторов 8491B (3, 6, 10 и 20 дБ) (90764) с разъемами type-N; идеально подходит для калибровочных лабораторий.</t>
  </si>
  <si>
    <t>61383</t>
  </si>
  <si>
    <t>Набор из четырех аттенюаторов 8491B (3, 6, 10 и 20 дБ) (90763) с разъемами type-N; идеально подходит для калибровочных лабораторий.</t>
  </si>
  <si>
    <t>61382</t>
  </si>
  <si>
    <t>Тип оборудования</t>
  </si>
  <si>
    <t>Наименование оборудования</t>
  </si>
  <si>
    <t>Зав. №</t>
  </si>
  <si>
    <t>N2818A</t>
  </si>
  <si>
    <t>Дифференциальный пробник с интерфейсом AutoProbe</t>
  </si>
  <si>
    <t>200 МГц, 10:1</t>
  </si>
  <si>
    <t>PH58380021</t>
  </si>
  <si>
    <t>HY1505D</t>
  </si>
  <si>
    <t>Источник питания</t>
  </si>
  <si>
    <t>Системный источник питания</t>
  </si>
  <si>
    <t>Выходное напряжение: 0~15V точность установки 0.1V
Выходной ток: 0~5A, точность установки 0.01A
Малый уровень пульсаций: ≤ 0.5mV
Малое влияние нагрузки: ≤ 0.01% ±3mV
Малое влияние сетевого напряжения: ≤ 0.01% ±2mV
Режимы стабилизации тока и напряжения
Индикация: 3-разрядные LED-дисплеи на ток и напряжение, 
точность: напряжение: ±1%, ток: ±2%
Защита от короткого замыкания
Габариты: 206х153х110 (мм), вес 3.6 кг
Питание: 110/220V ±10%</t>
  </si>
  <si>
    <t>476829</t>
  </si>
  <si>
    <t>476807</t>
  </si>
  <si>
    <t>476814</t>
  </si>
  <si>
    <t>ULAB UH-3545A</t>
  </si>
  <si>
    <t>206101</t>
  </si>
  <si>
    <t>Таймер:  нет
Температура нагрева: до + 350 оС
Мощность: 2,0 кВт
Размер платформы: 450х350
Материал платформы: чугун
Контроллер: аналоговый</t>
  </si>
  <si>
    <t>Лабораторная нагревательная плита</t>
  </si>
  <si>
    <t>22128-07</t>
  </si>
  <si>
    <t>Сenter 303</t>
  </si>
  <si>
    <t>171105825</t>
  </si>
  <si>
    <t>20 в 1</t>
  </si>
  <si>
    <t>8PK-SD001N</t>
  </si>
  <si>
    <t>Набор отверток ProsKit</t>
  </si>
  <si>
    <t>8PK-027</t>
  </si>
  <si>
    <t>Набор шестигранных ключей ProsKit 00237023</t>
  </si>
  <si>
    <t>Тип HEX
Размер min 0.7 мм
Размер max 10 мм
Материал CrV
Количество в наборе 30 шт
Форма угловой
Вид упаковки пластиковый пенал</t>
  </si>
  <si>
    <t>80595-20</t>
  </si>
  <si>
    <t>PLG20-12F</t>
  </si>
  <si>
    <t>1106210002</t>
  </si>
  <si>
    <t>20125100418</t>
  </si>
  <si>
    <t>Анализаторы спектра</t>
  </si>
  <si>
    <t xml:space="preserve"> СК4М-18</t>
  </si>
  <si>
    <t>60404-15</t>
  </si>
  <si>
    <t>1101170113</t>
  </si>
  <si>
    <t>Power splitter</t>
  </si>
  <si>
    <t>ZFRSC-183-S+</t>
  </si>
  <si>
    <t>Диапазон частот: 0 Гц – 18 ГГц
Изоляция (типичная): 7 дБ
Симметричный дисбаланс: 10° (максимум)
Потери включения: 1 дБ (типично)
Размеры: 25.40 мм x 19.05 мм x 15.49 мм
Корпус/Разъемы: Модуль, разъемы SMA</t>
  </si>
  <si>
    <t>FG79301902</t>
  </si>
  <si>
    <t xml:space="preserve"> 54631-13</t>
  </si>
  <si>
    <t>202106063125</t>
  </si>
  <si>
    <t>55499-13</t>
  </si>
  <si>
    <t xml:space="preserve"> HMC-T2000</t>
  </si>
  <si>
    <t>0932</t>
  </si>
  <si>
    <t>52071-12</t>
  </si>
  <si>
    <t xml:space="preserve"> Advantex SG8</t>
  </si>
  <si>
    <t>47954-5051-003</t>
  </si>
  <si>
    <t>DP8B233101661</t>
  </si>
  <si>
    <t>MSOX3102A</t>
  </si>
  <si>
    <t>72922-18</t>
  </si>
  <si>
    <t>MY57230126</t>
  </si>
  <si>
    <t>202106063123</t>
  </si>
  <si>
    <t>Осциллографы</t>
  </si>
  <si>
    <t>CN1805002001356</t>
  </si>
  <si>
    <t>Портативный двухпортовый векторный анализатор цепей</t>
  </si>
  <si>
    <t>ARINST VNA-PR1</t>
  </si>
  <si>
    <t>42114294WS</t>
  </si>
  <si>
    <t xml:space="preserve"> 59778-15</t>
  </si>
  <si>
    <t>Fluke 17B+</t>
  </si>
  <si>
    <t>GDM-78251A</t>
  </si>
  <si>
    <t>DG832</t>
  </si>
  <si>
    <t>Генератор сигналов</t>
  </si>
  <si>
    <t>DG8A221200786</t>
  </si>
  <si>
    <t>Тип прибора Настольный, Спец. формы
Количество каналов 2
Мин. частота (кГц) 0.000001
Макс. частота (ГГц) 35
Частотный диапазон 1 мкГц ... 35 МГц
Интерфейс USB device, USB host, USB-GPIB опция</t>
  </si>
  <si>
    <t>SR570</t>
  </si>
  <si>
    <t xml:space="preserve">Low noise current preamplifier
</t>
  </si>
  <si>
    <t>5 fA/√Hz input noise
1 MHz maximum bandwidth
1 pA/V maximum gain
Adjustable bias voltage
Two configurable signal filters
Variable input offset current
Line or battery operation
RS-232 interface</t>
  </si>
  <si>
    <t>162623</t>
  </si>
  <si>
    <t>MC-6.3 (USB-3.0)</t>
  </si>
  <si>
    <t>XC1480</t>
  </si>
  <si>
    <t>БП-000069</t>
  </si>
  <si>
    <t>ОС ФСИ эт.2</t>
  </si>
  <si>
    <t>Электронный микроскоп</t>
  </si>
  <si>
    <t xml:space="preserve">Электронный микроскоп </t>
  </si>
  <si>
    <t>Beiyinhu</t>
  </si>
  <si>
    <t>68540-17</t>
  </si>
  <si>
    <t>Анализаторы фазовых шумов</t>
  </si>
  <si>
    <t>PNA20</t>
  </si>
  <si>
    <t>223-03D306F00-0525</t>
  </si>
  <si>
    <t>DP7A232901032</t>
  </si>
  <si>
    <t>DP8B244803129</t>
  </si>
  <si>
    <t>R3465</t>
  </si>
  <si>
    <t>52420236</t>
  </si>
  <si>
    <t>31045-06</t>
  </si>
  <si>
    <t>Анализатор спектра реального времени</t>
  </si>
  <si>
    <t>RSA250X</t>
  </si>
  <si>
    <t>полоса анализа 80 МГц
анализ спектральных характеристик радиосигналов</t>
  </si>
  <si>
    <t>A3-X-03000478</t>
  </si>
  <si>
    <t>U2702A</t>
  </si>
  <si>
    <t xml:space="preserve"> Осциллографы модульные</t>
  </si>
  <si>
    <t>45328-10</t>
  </si>
  <si>
    <t>MY53242001</t>
  </si>
  <si>
    <t>476816</t>
  </si>
  <si>
    <t>Векторный анализатор спектра</t>
  </si>
  <si>
    <t>VSA6G2</t>
  </si>
  <si>
    <t>100 Гц - 6.2ГГц
динамическим диапазоном измерения (-140 дБм), 
максимальная входная мощность более + 30 дБм (1 Вт)</t>
  </si>
  <si>
    <t>CN63800600</t>
  </si>
  <si>
    <t>VSG6G1C</t>
  </si>
  <si>
    <t>CN62800508</t>
  </si>
  <si>
    <t>Векторный генератор сигналов</t>
  </si>
  <si>
    <t>1 МГц до 6,1 ГГц.</t>
  </si>
  <si>
    <t>DSG-38M-RF</t>
  </si>
  <si>
    <t>Синтезатор опорной частоты</t>
  </si>
  <si>
    <t>0 до 250 МГц, мощность до +20 дБм</t>
  </si>
  <si>
    <t>53500-2062-073</t>
  </si>
  <si>
    <t>CN62800480</t>
  </si>
  <si>
    <t>БП-000088 (ВТРМ-6 ПП190)</t>
  </si>
  <si>
    <t>панорамный детектор электромагнитного поля со встроенной антенной и демодулятором</t>
  </si>
  <si>
    <t>ARINST SFM 3</t>
  </si>
  <si>
    <t>Диапазон частот 23 МГц - 6.2 ГГц
Динамический диапазон 80 дБ
Встроенная поисковая антенна
Одновременное отображение до 4 диапазонов
Демодуляция ШЧМ/ЧМ/АМ
Скорость сканирования до 20 ГГц/с
Разрешение по частоте до 2.5 кГц</t>
  </si>
  <si>
    <t>2467</t>
  </si>
  <si>
    <t>ARINST SSA R3</t>
  </si>
  <si>
    <t>портативный анализатор спектра</t>
  </si>
  <si>
    <t>Диапазон частот 24 МГц - 12 ГГц
Динамический диапазон 80 дБ
Демодуляция ШЧМ/ЧМ/АМ
Скорость сканирования до 20 ГГц/с
Разрешение по частоте 2,5 кГц</t>
  </si>
  <si>
    <t>2536</t>
  </si>
  <si>
    <t>усилитель мощности</t>
  </si>
  <si>
    <t>Arinst KPAM-3000</t>
  </si>
  <si>
    <t>Диапазон частот 200-3000 МГц
Коэффициент усиления 42 дБ
Встроенный Li-ion аккумулятор</t>
  </si>
  <si>
    <t>б/н</t>
  </si>
  <si>
    <t>БП-000068 (ОС ФСИ эт.1)</t>
  </si>
  <si>
    <t>БП-000067 (ОС ФСИ эт.1)</t>
  </si>
  <si>
    <t>DP932E</t>
  </si>
  <si>
    <t>Источник питания программируемый</t>
  </si>
  <si>
    <t>DP9A253800691</t>
  </si>
  <si>
    <t>DP9A253701237</t>
  </si>
  <si>
    <t>Цветной сенсорный дисплей 4,3 дюйма
3 независимых канала 32В/3А, 32В/3А, 6В/3А
Автоматическое объединение каналов последовательно или параллельно
Время обработки команд менее 1 О мс
Низкие выходные пульсации &lt;350 мкВср.кв / 2 мВпик-пик
Минимальное время пребывания в точке 100мс
Безопасные штекеры на передней панели
LAN, USB, цифровые входы/выходы
Защита от температуры, скачков тока напряжения</t>
  </si>
  <si>
    <t>60181-15</t>
  </si>
  <si>
    <t>Весы электронные лабораторные</t>
  </si>
  <si>
    <t>HCB123</t>
  </si>
  <si>
    <t>AE1230258</t>
  </si>
  <si>
    <t>С-ДЮП/18-09-2023/279127743</t>
  </si>
  <si>
    <t>С-ДЕЧ/07-09-2023/276430250</t>
  </si>
  <si>
    <t xml:space="preserve"> С-МА/21-08-2023/271682401</t>
  </si>
  <si>
    <t>С-Н/23-06-2023/256753512</t>
  </si>
  <si>
    <t xml:space="preserve"> С-ДИЭ/18-09-2023/279127774</t>
  </si>
  <si>
    <t>Весовой индикатор</t>
  </si>
  <si>
    <t>SH-20</t>
  </si>
  <si>
    <t>WXK21080201</t>
  </si>
  <si>
    <t>БП-000070 (ВТРМ-4 ПП109)</t>
  </si>
  <si>
    <t xml:space="preserve"> ШЦЦ-I-300-0,01</t>
  </si>
  <si>
    <t>Штангенциркуль</t>
  </si>
  <si>
    <t>22010076</t>
  </si>
  <si>
    <t>БП-000070</t>
  </si>
  <si>
    <t>ВТРМ-4 ПП109</t>
  </si>
  <si>
    <t>56450-14</t>
  </si>
  <si>
    <t>ШГЦ 150мм</t>
  </si>
  <si>
    <t xml:space="preserve"> 52059-12</t>
  </si>
  <si>
    <t>Штангенглубиномеры</t>
  </si>
  <si>
    <t>AII14639</t>
  </si>
  <si>
    <t>ВТРМ-4 ПП110</t>
  </si>
  <si>
    <t>Рабочая температура, °С 0..+40
Питание -Адаптер: AC 100~220V / DC 12V
-Аккумулятор: DC 6V / 1.2Ah (в комплект не входит)
-Элементы питания АА х 6 шт (в комплект не входят)
Питания датчиков, В ⎓5 (100 мА)
Не более датчиков, шт х Ом 4х350 или 8х750
Внешнее разрешение 1/1000-1/15000
Нелинейность 0.016% от максимального веса
Выбор единиц –kg, -lb, -шт</t>
  </si>
  <si>
    <t>Выходное напряжение: 0~15V точность установки 0.1V
Выходной ток: 0~5A, точность установки 0.01A
точность: напряжение: ±1%, ток: ±2%
Защита от короткого замыкания
Габариты: 206х153х110 (мм), вес 3.6 кг
Питание: 110/220V ±10%</t>
  </si>
  <si>
    <t>ВТРМ-3 ПП109
Диапазон частот 1-6200 МГц, Измерение параметров S11 и S21
2 измерительных порта, Число точек сканирования 1000
Память на 32 предустановки и 32 трассы, Опция компенсации электрической длины кабеля
Регулировка выходной мощности зондирующего сигнала
Сдвиг амплитудной шкалы при измерении АЧХ активных устройств и аттенюаторов
Встроенный аккумулятор на 5000 мАч</t>
  </si>
  <si>
    <t>Цветной сенсорный дисплей 4,3 дюйма
3 независимых канала 32В/3А, 32В/3А, 6В/3А
Автоматическое объединение каналов последовательно или параллельно
Время обработки команд менее 1 О мс
Низкие выходные пульсации &lt;350 мкВср.кв / 2 мВпик-пик
Минимальное время пребывания в точке 100мс
Защита от температуры, скачков тока напряжения</t>
  </si>
  <si>
    <t>-70…+155 C
64л</t>
  </si>
  <si>
    <t>00-000022</t>
  </si>
  <si>
    <t>00-000020</t>
  </si>
  <si>
    <t>00-000019</t>
  </si>
  <si>
    <t>00-000023</t>
  </si>
  <si>
    <t>00-000025</t>
  </si>
  <si>
    <t xml:space="preserve"> IGPA-03 </t>
  </si>
  <si>
    <t>Измерительный СВЧ усилитель</t>
  </si>
  <si>
    <t>3Вт GaN 2 до 18 ГГЦ</t>
  </si>
  <si>
    <t>БП-000071</t>
  </si>
  <si>
    <t>2127-0063</t>
  </si>
  <si>
    <t xml:space="preserve"> 00-000021</t>
  </si>
  <si>
    <t xml:space="preserve"> 00-000018</t>
  </si>
  <si>
    <t xml:space="preserve"> 00-000026</t>
  </si>
  <si>
    <t xml:space="preserve"> 00-000028</t>
  </si>
  <si>
    <t xml:space="preserve"> 00-000017</t>
  </si>
  <si>
    <t>13</t>
  </si>
  <si>
    <t>24</t>
  </si>
  <si>
    <t>000000011</t>
  </si>
  <si>
    <t>000000015</t>
  </si>
  <si>
    <t xml:space="preserve"> 00-000013</t>
  </si>
  <si>
    <t>17</t>
  </si>
  <si>
    <t xml:space="preserve"> 00-000014</t>
  </si>
  <si>
    <t>(в комплекте Е3642А источник питания)</t>
  </si>
  <si>
    <t>9</t>
  </si>
  <si>
    <t xml:space="preserve"> 00-000015 или  00-000016</t>
  </si>
  <si>
    <t xml:space="preserve"> 00-000030</t>
  </si>
  <si>
    <t>в составе U2702A ( 00-000014)</t>
  </si>
  <si>
    <t xml:space="preserve"> 00-000002</t>
  </si>
  <si>
    <t>MY612502924</t>
  </si>
  <si>
    <t>Малошумящий СВЧ Синтезатор 100 кГц — 21 ГГц</t>
  </si>
  <si>
    <t>51792-1031-001</t>
  </si>
  <si>
    <t>SGU21-01M-C2U42HP315</t>
  </si>
  <si>
    <t>20231027144</t>
  </si>
  <si>
    <t>91177-24</t>
  </si>
  <si>
    <t>NCR-1502</t>
  </si>
  <si>
    <t>Микрометр</t>
  </si>
  <si>
    <t>МК-25 0.01</t>
  </si>
  <si>
    <t>50593-12</t>
  </si>
  <si>
    <t>CU130035</t>
  </si>
  <si>
    <t>от 0,1 до 30 ГГц, от 0 до 30 дБ, шаг 0,5 дБ</t>
  </si>
  <si>
    <t>RCDAT-30G-30</t>
  </si>
  <si>
    <t>аттенюатор программируемый</t>
  </si>
  <si>
    <t>01907290045</t>
  </si>
  <si>
    <t>Directional Coupler</t>
  </si>
  <si>
    <t>30 W, 30 dB Directional Coupler from 1000 to 4000 MHz</t>
  </si>
  <si>
    <t>31 W, 30 dB Directional Coupler from 1000 to 4000 MHz</t>
  </si>
  <si>
    <t>32 W, 30 dB Directional Coupler from 1000 to 4000 MHz</t>
  </si>
  <si>
    <t>ZUDC30-183+</t>
  </si>
  <si>
    <t>01904</t>
  </si>
  <si>
    <t>0817</t>
  </si>
  <si>
    <t>Ответвитель направленный</t>
  </si>
  <si>
    <t>HO16-0,5-26-13P-13P</t>
  </si>
  <si>
    <t>ZHL-4240N+</t>
  </si>
  <si>
    <t>RF Amplifier</t>
  </si>
  <si>
    <t>415401843</t>
  </si>
  <si>
    <t>ZVE-3W-83+</t>
  </si>
  <si>
    <t>RF Amplifier </t>
  </si>
  <si>
    <t>588901904</t>
  </si>
  <si>
    <t>362601834</t>
  </si>
  <si>
    <t>ZVE-3W-183+</t>
  </si>
  <si>
    <t>Генератор шума</t>
  </si>
  <si>
    <t>2391080632</t>
  </si>
  <si>
    <t>2389080731</t>
  </si>
  <si>
    <t>ZN2PD2-14W-S+</t>
  </si>
  <si>
    <t>Power Divider</t>
  </si>
  <si>
    <t>35 W, 2-way 0° Splitter/Combiner from 500 to 10500 MHz</t>
  </si>
  <si>
    <t>FG90701905</t>
  </si>
  <si>
    <t>RF &amp; Microwave Circulator</t>
  </si>
  <si>
    <t>24205007</t>
  </si>
  <si>
    <t>24205006</t>
  </si>
  <si>
    <t>QCC-26500-40000-5-K-1</t>
  </si>
  <si>
    <t>11612A</t>
  </si>
  <si>
    <t>Bias Network</t>
  </si>
  <si>
    <t xml:space="preserve"> frequency range of 40 MHz to 26.5 GHz.</t>
  </si>
  <si>
    <t>QBT-10-12000</t>
  </si>
  <si>
    <t>0.01~12GHz</t>
  </si>
  <si>
    <t>Bias Tees</t>
  </si>
  <si>
    <t>24225061</t>
  </si>
  <si>
    <t>QMPS60-8-S-A</t>
  </si>
  <si>
    <t>Mechanical Phase Shifter</t>
  </si>
  <si>
    <t xml:space="preserve">
60°/GHz, Manual Phase Shifter from DC to 8 GHz</t>
  </si>
  <si>
    <t>24225063</t>
  </si>
  <si>
    <t>QMPS20-18-SSF</t>
  </si>
  <si>
    <t>21095023</t>
  </si>
  <si>
    <t>0°/GHz, Manual Phase Shifter from DC to 18 GHz</t>
  </si>
  <si>
    <t>QMPS10-26,5-SSF</t>
  </si>
  <si>
    <t>Manual Phase Shifters</t>
  </si>
  <si>
    <t>10.2°/GHz, DC~26.5GHz</t>
  </si>
  <si>
    <t>QSDC-1000-40000-30</t>
  </si>
  <si>
    <t>Штангенциркуль на участке обработки материалов, 
150мм</t>
  </si>
  <si>
    <t>Штангенциркуль на участке обработки материалов, 
150 мм</t>
  </si>
  <si>
    <t>Штангенциркуль на складе, 
150 мм</t>
  </si>
  <si>
    <t>OUTAD ZK256500</t>
  </si>
  <si>
    <t>Микрометр на участке обработки материалов
Материал: металл
Точность: 0,01 мм
Диапазон: 0-25 мм
Размер: 140x65x25мм</t>
  </si>
  <si>
    <t>Mitutoyo M120-25</t>
  </si>
  <si>
    <t>66925001</t>
  </si>
  <si>
    <t>Микрометр на участке обработки материалов
Материал: металл
Точность: 0,001 мм
Диапазон: 0-25 мм</t>
  </si>
  <si>
    <t>Рычажно-зубчатый индикатор</t>
  </si>
  <si>
    <t>Mitutoyo 513-425-10E</t>
  </si>
  <si>
    <t>ADKX47</t>
  </si>
  <si>
    <t>Участок обработки материалов
Индикатор 0-0,6мм 0,002 рычажный горизонтальный</t>
  </si>
  <si>
    <t>Набор измерительных щупов</t>
  </si>
  <si>
    <t>Gigant  GGS-17</t>
  </si>
  <si>
    <t xml:space="preserve">Участок обработки материалов
Набор измерительных щупов Gigant 17 шт., 0,02-1,00 мм GGS-17 - это набор измерительных пластин разной толщины в металлическом корпусе. Плоские измерительные щупы применяются для контроля зазоров между плоскостями. </t>
  </si>
  <si>
    <t>Токовые клещи</t>
  </si>
  <si>
    <t>СЕМ DT-3361</t>
  </si>
  <si>
    <t>170403311</t>
  </si>
  <si>
    <t>Участок обработки материалов.
Токовые клещи СЕМ DT-3361 481936 оснащается контрастным ЖК-экраном с подсветкой для удобного считывания показаний. Сфера применения модели - измерение параметров электросети - напряжения, силы переменного тока, сопротивления, емкости, частоты, а так же проведение диод-тестов и прозвонка цепи.</t>
  </si>
  <si>
    <t>Цифровой микроскоп (комплекс визуализации)</t>
  </si>
  <si>
    <t>ЛОМО-Микросистемы МС-AF</t>
  </si>
  <si>
    <t>230820238</t>
  </si>
  <si>
    <t>Микроскоп для визуального контроля (в чистой зоне).
Оптико-электронная система ультра высокого разрешения (Ultra HD 4K) с выводом изображения на HDMI ЖК дисплей 4K с увеличенным полем зрения. Оснащена zoom-системой c электромеханическим управлением и автофокусировкой. Позволяет производить линейные измерения, запись фото-/видео изображения.
Целевое применение -микроэлектроника. Макроскоп является безокулярной оптической системой, имеет встроенный объектив с зум системой с электромеханическим управлением.</t>
  </si>
  <si>
    <t>Микромед МС-4-ZOOM</t>
  </si>
  <si>
    <t>018290</t>
  </si>
  <si>
    <t>Микроскоп для визуального контроля (в чистой зоне).
Стереоскопический микроскоп МИКРОМЕД МС-4-ZOOM LED предназначен для наблюдения как объемных, так и тонких пленочных и прозрачных объектов,</t>
  </si>
  <si>
    <t>Металлографический микроскоп с цифровой камерой</t>
  </si>
  <si>
    <t>Камера № XC1469</t>
  </si>
  <si>
    <t>Микроскоп для контроля кристаллов.
Металлографический микроскоп МЕТАМ РН-41 предназначен для визуального наблюдения микроструктуры непрозрачных объектов в отраженном свете при прямом освещении в светлом и темном поле, а также для исследования объектов в поляризованном свете.</t>
  </si>
  <si>
    <t xml:space="preserve">Телецентрический микроскоп с цифровой камерой </t>
  </si>
  <si>
    <t>Камера № 1904170201</t>
  </si>
  <si>
    <t>Микроскоп цифровой</t>
  </si>
  <si>
    <t>Levenhuk Discovery Artisan</t>
  </si>
  <si>
    <t>Цифровой микроскоп Levenhuk Discovery Artisan с профессиональным штативом и программой для фотографирования, видеозаписи и измерений объектов станет отличным помощником человеку, который занимается ремонтом техники, оценкой качества металлов, заточкой ножей, реставрацией предметов искусства, ювелирным делом или другими прикладными работами.</t>
  </si>
  <si>
    <t>Микроскоп с тринокулярной головкой с цифровой камерой</t>
  </si>
  <si>
    <t>Микроскоп для визуального контроля (в чистой зоне).</t>
  </si>
  <si>
    <t>МБС-10</t>
  </si>
  <si>
    <t>Старый микроскоп для визуального контроля.</t>
  </si>
  <si>
    <t>Граммометр</t>
  </si>
  <si>
    <t>Граммометр 5-60 гр. 1986г.</t>
  </si>
  <si>
    <t>Mitutoyo 546-134</t>
  </si>
  <si>
    <t>333838</t>
  </si>
  <si>
    <t>30-300 мН. Пружинный граммометр Mitutoyo 546-134. Особенности и преимущества * Для регулировки микропереключателей, пружин и клапанов реле * Для проверки измерительного усилия измерительных головок * Для регулировки пружин на сжатие и растяжение</t>
  </si>
  <si>
    <t>Jonard GD-10</t>
  </si>
  <si>
    <t>10-100 гр.</t>
  </si>
  <si>
    <t>Мультиметр</t>
  </si>
  <si>
    <t>MASTECH MS8239C</t>
  </si>
  <si>
    <t>Мультиметр MASTECH MS8239C 13-2020 предназначен для измерения постоянного и переменного напряжение, а также постоянного и переменного тока, сопротивления в цепи, емкости, частоты и даже температуры. </t>
  </si>
  <si>
    <t>012096</t>
  </si>
  <si>
    <t>Установка для автоматизированного контроля параметров микросхем</t>
  </si>
  <si>
    <t>"Иволга"</t>
  </si>
  <si>
    <t>Установка для контроля микросхем</t>
  </si>
  <si>
    <t>Микроскоп для визуального контроля (в производственной зоне).</t>
  </si>
  <si>
    <t>Микроскоп для визуального контроля (в производственной зоне).
Стереоскопический микроскоп МИКРОМЕД МС-4-ZOOM LED предназначен для наблюдения как объемных, так и тонких пленочных и прозрачных объектов,</t>
  </si>
  <si>
    <t>018289</t>
  </si>
  <si>
    <t>018288</t>
  </si>
  <si>
    <t>Анализатор цепей векторный</t>
  </si>
  <si>
    <t>Обзор-TR1300/1</t>
  </si>
  <si>
    <t>0260913</t>
  </si>
  <si>
    <t>Анализатор для контроля параметров изделий в производственной зоне</t>
  </si>
  <si>
    <t>Портативный анализатор спектра с трекинг-генератором</t>
  </si>
  <si>
    <t>Arinst SSA-TG R2s</t>
  </si>
  <si>
    <t>2052</t>
  </si>
  <si>
    <t>Arinst SSA-TG R2</t>
  </si>
  <si>
    <t>Портативный генератор синусоидального сигнала</t>
  </si>
  <si>
    <t>ARINST ArSiG-S</t>
  </si>
  <si>
    <t>03273-2051-001</t>
  </si>
  <si>
    <t>35423-07</t>
  </si>
  <si>
    <t>MY57390004</t>
  </si>
  <si>
    <t>00-000027</t>
  </si>
  <si>
    <t>00-000024</t>
  </si>
  <si>
    <t>ШЦ, ШЦК, ШЦЦ
(ШЦК-I-150-0,01)</t>
  </si>
  <si>
    <t>452711</t>
  </si>
  <si>
    <t>22050110</t>
  </si>
  <si>
    <t>Установки для проверки параметров электрической безопасности</t>
  </si>
  <si>
    <t>GPT-79903</t>
  </si>
  <si>
    <t>GEX171620</t>
  </si>
  <si>
    <t>Гигрометры психрометрические</t>
  </si>
  <si>
    <t>ВИТ-2</t>
  </si>
  <si>
    <t>312</t>
  </si>
  <si>
    <t>С-АВФ/16-04-2024/337273316</t>
  </si>
  <si>
    <t>Приборы для измерений текстуры поверхности, отклонения от формы дуги окружности, прямолинейности и радиуса дуги средней линии по методу наименьших квадратов</t>
  </si>
  <si>
    <t>Form Talysurf</t>
  </si>
  <si>
    <t>41</t>
  </si>
  <si>
    <t>509</t>
  </si>
  <si>
    <t>С-АВФ/17-02-2024/322581466</t>
  </si>
  <si>
    <t>20125100407</t>
  </si>
  <si>
    <t>UT3000-6000ED/EP</t>
  </si>
  <si>
    <t>202106063117</t>
  </si>
  <si>
    <t>MPS-3003S</t>
  </si>
  <si>
    <t>D202100WX</t>
  </si>
  <si>
    <t>Источники питания постоянного тока программируемые</t>
  </si>
  <si>
    <t>DP832</t>
  </si>
  <si>
    <t>DP8B250800211</t>
  </si>
  <si>
    <t>568</t>
  </si>
  <si>
    <t>С-АВФ/02-11-2023/295570963</t>
  </si>
  <si>
    <t>241</t>
  </si>
  <si>
    <t>С-АВФ/19-02-2024/322585227</t>
  </si>
  <si>
    <t>374</t>
  </si>
  <si>
    <t>С-АВФ/10-06-2023/258940008</t>
  </si>
  <si>
    <t>Штангенциркули торговой марки "Micron"</t>
  </si>
  <si>
    <t>Нет данных</t>
  </si>
  <si>
    <t>082081</t>
  </si>
  <si>
    <t>С-ГЖЕ/01-03-2024/320207254</t>
  </si>
  <si>
    <t>Измерители сопротивления, относительной влажности и температуры</t>
  </si>
  <si>
    <t>VKG A-770</t>
  </si>
  <si>
    <t>PG30-A2329</t>
  </si>
  <si>
    <t>С-ВТЖ/22-01-2024/310573973</t>
  </si>
  <si>
    <t>Термогигрометры</t>
  </si>
  <si>
    <t>RGK моделей ТН-10, ТН-12</t>
  </si>
  <si>
    <t>С-ДТЖ/26-03-2024/326695028</t>
  </si>
  <si>
    <t>Весы лабораторные электронные неавтоматического действия</t>
  </si>
  <si>
    <t>ВЛТЭ</t>
  </si>
  <si>
    <t>I01-024</t>
  </si>
  <si>
    <t>С-АЕЯ/08-05-2024/337705076</t>
  </si>
  <si>
    <t xml:space="preserve"> Мультиметры цифровые</t>
  </si>
  <si>
    <t xml:space="preserve"> Fluke 106</t>
  </si>
  <si>
    <t xml:space="preserve"> 47080293WS</t>
  </si>
  <si>
    <t>С-ДЮП/08-05-2024/338255856</t>
  </si>
  <si>
    <t>72189-18</t>
  </si>
  <si>
    <t>Штангенциркуль на участке обработки материалов
Тип: с глубиномером
Способ отсчета: стрелочный
Диапазон измерений: 0-150 мм
Размерность: длина губок 40 мм
Точность отсчета: 0,01 мм</t>
  </si>
  <si>
    <t>Штангенциркуль на участке обработки материалов</t>
  </si>
  <si>
    <t>58755-14</t>
  </si>
  <si>
    <t>Установки для проверки параметров электрической безопасности (пробои корпусов)</t>
  </si>
  <si>
    <t>9364-08</t>
  </si>
  <si>
    <t>Гигрометр для контроля климатических условий в чистой зоне.</t>
  </si>
  <si>
    <t>87757-22</t>
  </si>
  <si>
    <t>Профилометр</t>
  </si>
  <si>
    <t>№БП-000064</t>
  </si>
  <si>
    <t>Мультиметр для конроля параметров изделий в производственной зоне
ВТРМ-3 ПП109</t>
  </si>
  <si>
    <t>Источник питания для рабочего места контроля параметров изделий</t>
  </si>
  <si>
    <t>32050-06</t>
  </si>
  <si>
    <t>Источник питания на участке обработки материалов</t>
  </si>
  <si>
    <t>55491-13</t>
  </si>
  <si>
    <t>Гигрометр для контроля климатических условий в производственной зоне.</t>
  </si>
  <si>
    <t>Гигрометр для контроля климатических условий в складской зоне.</t>
  </si>
  <si>
    <t>70557-18</t>
  </si>
  <si>
    <t>Штангенциркуль для проведения входного контроля</t>
  </si>
  <si>
    <t>61553-15</t>
  </si>
  <si>
    <t>Средство контроля заземления в складской зоне</t>
  </si>
  <si>
    <t>80307-20</t>
  </si>
  <si>
    <t>Термогигрометр для контроля климатических условий в складской зоне</t>
  </si>
  <si>
    <t>69452-17</t>
  </si>
  <si>
    <t>Весы для проведения входного контроля</t>
  </si>
  <si>
    <t xml:space="preserve"> 57587-14</t>
  </si>
  <si>
    <t>Мультиметр для проведения входного контроля</t>
  </si>
  <si>
    <t xml:space="preserve">Анализатор для контроля парамеров изделий в производственной зоне.
</t>
  </si>
  <si>
    <t xml:space="preserve">Генератор сигнала для контроля парамеров изделий в производственной зоне.
</t>
  </si>
  <si>
    <t>БП-000067 ОС ФСИ эт.1</t>
  </si>
  <si>
    <t>Мультиметр цифровой</t>
  </si>
  <si>
    <t>UNI-T UT121B</t>
  </si>
  <si>
    <t>C23040441</t>
  </si>
  <si>
    <t>Мультиметр (в производственной зоне)</t>
  </si>
  <si>
    <t>DUWI M830L</t>
  </si>
  <si>
    <t>МЕГЕОН MY-64</t>
  </si>
  <si>
    <t>2316316045</t>
  </si>
  <si>
    <t>Цифровой мультиметр-пинцет для SMD компонентов</t>
  </si>
  <si>
    <t>UNI-T UT116C</t>
  </si>
  <si>
    <t>C220395661</t>
  </si>
  <si>
    <t>С-МА/07-06-2024/346698454</t>
  </si>
  <si>
    <t xml:space="preserve"> С-ГДИ/31-07-2024/358977888</t>
  </si>
  <si>
    <t>С-ГДИ/31-07-2024/358976725</t>
  </si>
  <si>
    <t>DG912 Pro</t>
  </si>
  <si>
    <t>Генератор сигналов произвольной и специальной формы</t>
  </si>
  <si>
    <t xml:space="preserve">150 МГц, 2 канала </t>
  </si>
  <si>
    <t>DG9Q262100176</t>
  </si>
  <si>
    <t>Center 520</t>
  </si>
  <si>
    <t>Термометр контактный</t>
  </si>
  <si>
    <t>Диапазон измерения: -200°С — +1370°С
 Погрешность: ±0,1°C</t>
  </si>
  <si>
    <t>С-ДХЛ/18-09-2024/371577672</t>
  </si>
  <si>
    <t>24052111/24050108</t>
  </si>
  <si>
    <t>78610-20</t>
  </si>
  <si>
    <t>Камеры тепловизионные стационарные</t>
  </si>
  <si>
    <t xml:space="preserve"> PI, Xi</t>
  </si>
  <si>
    <t>Измерители температуры электронные</t>
  </si>
  <si>
    <t>Преобразователи измерительные</t>
  </si>
  <si>
    <t>Блоки измерительные ваттметров</t>
  </si>
  <si>
    <t>Штангенциркули торговой марки "GRIFF" с отсчетом по нониусу и с цифровым отсчетным устройством</t>
  </si>
  <si>
    <t xml:space="preserve"> Штангенциркули</t>
  </si>
  <si>
    <t>Штангенциркули</t>
  </si>
  <si>
    <t xml:space="preserve"> Штангенциркули торговой марки "GRIFF" с отсчетом по нониусу и с цифровым отсчетным устройством</t>
  </si>
  <si>
    <t>ГШМ2-20А-13</t>
  </si>
  <si>
    <t>ГШМ2-20В-13</t>
  </si>
  <si>
    <t>С-ДВУ/06-06-2025/439994813</t>
  </si>
  <si>
    <t>С-ДЮП/18-09-2023/279127742</t>
  </si>
  <si>
    <t>RI130329</t>
  </si>
  <si>
    <t>С-ДИЭ/18-09-2023/279127773</t>
  </si>
  <si>
    <t>год ввода в эксп.</t>
  </si>
  <si>
    <t>№ Госреестра</t>
  </si>
  <si>
    <t>Кол-во дней до поверки</t>
  </si>
  <si>
    <t>Дата очередн. Поверки</t>
  </si>
  <si>
    <t>дата св-ва о поверке</t>
  </si>
  <si>
    <t>№ св-ва о поверке</t>
  </si>
  <si>
    <t>Инв.№</t>
  </si>
  <si>
    <t>стоимость поверки</t>
  </si>
  <si>
    <t>52705-13</t>
  </si>
  <si>
    <t>1/120-1318-17</t>
  </si>
  <si>
    <t>1/120-1317-17</t>
  </si>
  <si>
    <t>Обозначение типа</t>
  </si>
  <si>
    <t xml:space="preserve">Наименование
</t>
  </si>
  <si>
    <t>Climcontrol ШС 30/250-100-П Standard</t>
  </si>
  <si>
    <t>Климатическая камера</t>
  </si>
  <si>
    <t>КХТ-0,064</t>
  </si>
  <si>
    <t>Телецентрический микроскоп с рабочей областью измерений 75x65 мм с цифровой камерой E3ISPM12000KPA. Телецентрические объективы применяются в измерительных микроскопах и системах машинного зрения, поскольку такие объективы имеют параллельный ход пучков, а увеличение не зависит от расстояния между объективом и измеряемым предметом. Полученное изображение с телецентрического объектива схоже с проекцией на чертеже и идеально подходит для анализа и измерений.</t>
  </si>
  <si>
    <t>Микроскоп: МЕТАМ РН-41
Камера: MC-3</t>
  </si>
  <si>
    <t>Камера: E3ISPM12000KPA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</si>
</sst>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</font>
    <font>
      <u/>
      <sz val="12"/>
      <color theme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49">
    <xf numFmtId="0" fontId="0" fillId="0" borderId="0" xfId="0"/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3" fontId="2" fillId="0" borderId="3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3" fillId="2" borderId="15" xfId="0" quotePrefix="1" applyFont="1" applyFill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43" fontId="3" fillId="0" borderId="2" xfId="2" applyFont="1" applyBorder="1" applyAlignment="1">
      <alignment horizontal="center" vertical="center" wrapText="1"/>
    </xf>
    <xf numFmtId="43" fontId="7" fillId="0" borderId="2" xfId="2" applyFont="1" applyBorder="1" applyAlignment="1">
      <alignment horizontal="center" vertical="center" wrapText="1"/>
    </xf>
    <xf numFmtId="43" fontId="3" fillId="0" borderId="0" xfId="2" applyFont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3" fontId="3" fillId="0" borderId="5" xfId="2" applyFont="1" applyBorder="1" applyAlignment="1">
      <alignment horizontal="center" vertical="center" wrapText="1"/>
    </xf>
    <xf numFmtId="14" fontId="5" fillId="0" borderId="2" xfId="1" applyNumberFormat="1" applyFont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>
          <bgColor rgb="FF00DE6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00DE6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DE6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DE6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DE6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DE6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DE6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33CC33"/>
      <color rgb="FF00CC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2:N86" totalsRowShown="0" headerRowDxfId="36" headerRowBorderDxfId="35" tableBorderDxfId="34" totalsRowBorderDxfId="33">
  <autoFilter ref="A2:N86"/>
  <sortState ref="A3:N86">
    <sortCondition descending="1" ref="I2:I86"/>
  </sortState>
  <tableColumns count="14">
    <tableColumn id="1" name="№_x000a_п/п" dataDxfId="32"/>
    <tableColumn id="2" name="Наименование СИ" dataDxfId="31"/>
    <tableColumn id="3" name="Обозначение типа СИ" dataDxfId="30"/>
    <tableColumn id="4" name="зав.№" dataDxfId="29"/>
    <tableColumn id="5" name="№ св-ва о поверке" dataDxfId="28" dataCellStyle="Гиперссылка"/>
    <tableColumn id="6" name="МПИ" dataDxfId="27"/>
    <tableColumn id="7" name="дата св-ва о поверке" dataDxfId="26"/>
    <tableColumn id="8" name="Дата очередн. Поверки" dataDxfId="25">
      <calculatedColumnFormula>Таблица1[[#This Row],[дата св-ва о поверке]]+(Таблица1[[#This Row],[МПИ]]*365) -1</calculatedColumnFormula>
    </tableColumn>
    <tableColumn id="9" name="Кол-во дней до поверки" dataDxfId="24"/>
    <tableColumn id="10" name="Инв.№" dataDxfId="23"/>
    <tableColumn id="11" name="год ввода в эксп." dataDxfId="22"/>
    <tableColumn id="12" name="№ Госреестра" dataDxfId="21" dataCellStyle="Гиперссылка"/>
    <tableColumn id="13" name="Примечание" dataDxfId="20"/>
    <tableColumn id="14" name="стоимость поверки" dataDxfId="19" dataCellStyle="Финансовый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Таблица4" displayName="Таблица4" ref="A1:K3" totalsRowShown="0" headerRowDxfId="15" headerRowBorderDxfId="14" tableBorderDxfId="13" totalsRowBorderDxfId="12">
  <autoFilter ref="A1:K3"/>
  <tableColumns count="11">
    <tableColumn id="1" name="№ п/п"/>
    <tableColumn id="2" name="Наименование_x000a_"/>
    <tableColumn id="11" name="Обозначение типа"/>
    <tableColumn id="3" name="зав.№"/>
    <tableColumn id="4" name="№_x000a_аттестата"/>
    <tableColumn id="5" name="дата_x000a_проведения_x000a_аттестации"/>
    <tableColumn id="6" name="Дата_x000a_очередной_x000a_аттестации"/>
    <tableColumn id="7" name="Количество_x000a_дней_x000a_до_x000a_окончания_x000a_срока_x000a_аттестации" dataDxfId="11">
      <calculatedColumnFormula>G2-data</calculatedColumnFormula>
    </tableColumn>
    <tableColumn id="8" name="Инв._x000a_№"/>
    <tableColumn id="9" name=" год_x000a_ввода_x000a_в_x000a_эксп."/>
    <tableColumn id="10" name="Примечание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F102" totalsRowShown="0" headerRowDxfId="10" dataDxfId="8" headerRowBorderDxfId="9" tableBorderDxfId="7" totalsRowBorderDxfId="6">
  <autoFilter ref="A1:F102"/>
  <sortState ref="A2:F19">
    <sortCondition ref="B1:B19"/>
  </sortState>
  <tableColumns count="6">
    <tableColumn id="1" name="№ п/п" dataDxfId="5"/>
    <tableColumn id="2" name="Наименование оборудования" dataDxfId="4"/>
    <tableColumn id="3" name="Тип оборудования" dataDxfId="3"/>
    <tableColumn id="4" name="Зав. №" dataDxfId="2"/>
    <tableColumn id="9" name="Инв._x000a_№" dataDxfId="1"/>
    <tableColumn id="10" name="Примечание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gis.gost.ru/fundmetrology/registry/4/items/333372" TargetMode="External"/><Relationship Id="rId21" Type="http://schemas.openxmlformats.org/officeDocument/2006/relationships/hyperlink" Target="https://fgis.gost.ru/fundmetrology/registry/4/items/583052" TargetMode="External"/><Relationship Id="rId42" Type="http://schemas.openxmlformats.org/officeDocument/2006/relationships/hyperlink" Target="https://fgis.gost.ru/fundmetrology/registry/4/items/367105" TargetMode="External"/><Relationship Id="rId47" Type="http://schemas.openxmlformats.org/officeDocument/2006/relationships/hyperlink" Target="https://fgis.gost.ru/fundmetrology/registry/4/items/367105" TargetMode="External"/><Relationship Id="rId63" Type="http://schemas.openxmlformats.org/officeDocument/2006/relationships/hyperlink" Target="https://fgis.gost.ru/fundmetrology/registry/4/items/1414011" TargetMode="External"/><Relationship Id="rId68" Type="http://schemas.openxmlformats.org/officeDocument/2006/relationships/hyperlink" Target="https://fgis.gost.ru/fundmetrology/registry/4/items/369156" TargetMode="External"/><Relationship Id="rId84" Type="http://schemas.openxmlformats.org/officeDocument/2006/relationships/hyperlink" Target="https://fgis.gost.ru/fundmetrology/cm/results/1-310573973" TargetMode="External"/><Relationship Id="rId89" Type="http://schemas.openxmlformats.org/officeDocument/2006/relationships/hyperlink" Target="https://fgis.gost.ru/fundmetrology/registry/4/items/383602" TargetMode="External"/><Relationship Id="rId16" Type="http://schemas.openxmlformats.org/officeDocument/2006/relationships/hyperlink" Target="https://fgis.gost.ru/fundmetrology/registry/4/items/358391" TargetMode="External"/><Relationship Id="rId107" Type="http://schemas.openxmlformats.org/officeDocument/2006/relationships/table" Target="../tables/table1.xml"/><Relationship Id="rId11" Type="http://schemas.openxmlformats.org/officeDocument/2006/relationships/hyperlink" Target="https://fgis.gost.ru/fundmetrology/registry/4/items/379706" TargetMode="External"/><Relationship Id="rId32" Type="http://schemas.openxmlformats.org/officeDocument/2006/relationships/hyperlink" Target="https://fgis.gost.ru/fundmetrology/registry/4/items/492406" TargetMode="External"/><Relationship Id="rId37" Type="http://schemas.openxmlformats.org/officeDocument/2006/relationships/hyperlink" Target="https://fgis.gost.ru/fundmetrology/registry/4/items/1385211" TargetMode="External"/><Relationship Id="rId53" Type="http://schemas.openxmlformats.org/officeDocument/2006/relationships/hyperlink" Target="https://fgis.gost.ru/fundmetrology/registry/4/items/356301" TargetMode="External"/><Relationship Id="rId58" Type="http://schemas.openxmlformats.org/officeDocument/2006/relationships/hyperlink" Target="https://fgis.gost.ru/fundmetrology/cm/results/1-256753512" TargetMode="External"/><Relationship Id="rId74" Type="http://schemas.openxmlformats.org/officeDocument/2006/relationships/hyperlink" Target="https://fgis.gost.ru/fundmetrology/registry/4/items/355265" TargetMode="External"/><Relationship Id="rId79" Type="http://schemas.openxmlformats.org/officeDocument/2006/relationships/hyperlink" Target="https://fgis.gost.ru/fundmetrology/registry/4/items/388188" TargetMode="External"/><Relationship Id="rId102" Type="http://schemas.openxmlformats.org/officeDocument/2006/relationships/hyperlink" Target="https://fgis.gost.ru/fundmetrology/cm/results/1-279127742" TargetMode="External"/><Relationship Id="rId5" Type="http://schemas.openxmlformats.org/officeDocument/2006/relationships/hyperlink" Target="https://fgis.gost.ru/fundmetrology/registry/4/items/360570" TargetMode="External"/><Relationship Id="rId90" Type="http://schemas.openxmlformats.org/officeDocument/2006/relationships/hyperlink" Target="https://fgis.gost.ru/fundmetrology/cm/results/1-338255856" TargetMode="External"/><Relationship Id="rId95" Type="http://schemas.openxmlformats.org/officeDocument/2006/relationships/hyperlink" Target="https://fgis.gost.ru/fundmetrology/cm/results/1-295570963" TargetMode="External"/><Relationship Id="rId22" Type="http://schemas.openxmlformats.org/officeDocument/2006/relationships/hyperlink" Target="https://fgis.gost.ru/fundmetrology/registry/4/items/355265" TargetMode="External"/><Relationship Id="rId27" Type="http://schemas.openxmlformats.org/officeDocument/2006/relationships/hyperlink" Target="https://fgis.gost.ru/fundmetrology/registry/4/items/333369" TargetMode="External"/><Relationship Id="rId43" Type="http://schemas.openxmlformats.org/officeDocument/2006/relationships/hyperlink" Target="https://fgis.gost.ru/fundmetrology/registry/4/items/368081" TargetMode="External"/><Relationship Id="rId48" Type="http://schemas.openxmlformats.org/officeDocument/2006/relationships/hyperlink" Target="https://fgis.gost.ru/fundmetrology/registry/4/items/372986" TargetMode="External"/><Relationship Id="rId64" Type="http://schemas.openxmlformats.org/officeDocument/2006/relationships/hyperlink" Target="https://fgis.gost.ru/fundmetrology/registry/4/items/362474" TargetMode="External"/><Relationship Id="rId69" Type="http://schemas.openxmlformats.org/officeDocument/2006/relationships/hyperlink" Target="https://fgis.gost.ru/fundmetrology/registry/4/items/397692" TargetMode="External"/><Relationship Id="rId80" Type="http://schemas.openxmlformats.org/officeDocument/2006/relationships/hyperlink" Target="https://fgis.gost.ru/fundmetrology/registry/4/items/388188" TargetMode="External"/><Relationship Id="rId85" Type="http://schemas.openxmlformats.org/officeDocument/2006/relationships/hyperlink" Target="https://fgis.gost.ru/fundmetrology/registry/4/items/374973" TargetMode="External"/><Relationship Id="rId12" Type="http://schemas.openxmlformats.org/officeDocument/2006/relationships/hyperlink" Target="https://fgis.gost.ru/fundmetrology/registry/4/items/1414889" TargetMode="External"/><Relationship Id="rId17" Type="http://schemas.openxmlformats.org/officeDocument/2006/relationships/hyperlink" Target="https://fgis.gost.ru/fundmetrology/registry/4/items/1414610" TargetMode="External"/><Relationship Id="rId33" Type="http://schemas.openxmlformats.org/officeDocument/2006/relationships/hyperlink" Target="https://fgis.gost.ru/fundmetrology/registry/4/items/361645" TargetMode="External"/><Relationship Id="rId38" Type="http://schemas.openxmlformats.org/officeDocument/2006/relationships/hyperlink" Target="https://fgis.gost.ru/fundmetrology/registry/4/items/325755" TargetMode="External"/><Relationship Id="rId59" Type="http://schemas.openxmlformats.org/officeDocument/2006/relationships/hyperlink" Target="https://fgis.gost.ru/fundmetrology/cm/results/1-279127774" TargetMode="External"/><Relationship Id="rId103" Type="http://schemas.openxmlformats.org/officeDocument/2006/relationships/hyperlink" Target="https://fgis.gost.ru/fundmetrology/cm/results/1-279127773" TargetMode="External"/><Relationship Id="rId20" Type="http://schemas.openxmlformats.org/officeDocument/2006/relationships/hyperlink" Target="https://fgis.gost.ru/fundmetrology/registry/4/items/396308" TargetMode="External"/><Relationship Id="rId41" Type="http://schemas.openxmlformats.org/officeDocument/2006/relationships/hyperlink" Target="https://fgis.gost.ru/fundmetrology/registry/4/items/373678" TargetMode="External"/><Relationship Id="rId54" Type="http://schemas.openxmlformats.org/officeDocument/2006/relationships/hyperlink" Target="https://fgis.gost.ru/fundmetrology/registry/4/items/373431" TargetMode="External"/><Relationship Id="rId62" Type="http://schemas.openxmlformats.org/officeDocument/2006/relationships/hyperlink" Target="https://fgis.gost.ru/fundmetrology/registry/4/items/1385211" TargetMode="External"/><Relationship Id="rId70" Type="http://schemas.openxmlformats.org/officeDocument/2006/relationships/hyperlink" Target="https://fgis.gost.ru/fundmetrology/registry/4/items/371846" TargetMode="External"/><Relationship Id="rId75" Type="http://schemas.openxmlformats.org/officeDocument/2006/relationships/hyperlink" Target="https://fgis.gost.ru/fundmetrology/registry/4/items/367105" TargetMode="External"/><Relationship Id="rId83" Type="http://schemas.openxmlformats.org/officeDocument/2006/relationships/hyperlink" Target="https://fgis.gost.ru/fundmetrology/registry/4/items/384797" TargetMode="External"/><Relationship Id="rId88" Type="http://schemas.openxmlformats.org/officeDocument/2006/relationships/hyperlink" Target="https://fgis.gost.ru/fundmetrology/cm/results/1-337705076" TargetMode="External"/><Relationship Id="rId91" Type="http://schemas.openxmlformats.org/officeDocument/2006/relationships/hyperlink" Target="https://fgis.gost.ru/fundmetrology/registry/4/items/370478" TargetMode="External"/><Relationship Id="rId96" Type="http://schemas.openxmlformats.org/officeDocument/2006/relationships/hyperlink" Target="https://fgis.gost.ru/fundmetrology/cm/results/1-346698454" TargetMode="External"/><Relationship Id="rId1" Type="http://schemas.openxmlformats.org/officeDocument/2006/relationships/hyperlink" Target="https://fgis.gost.ru/fundmetrology/registry/4/items/367105" TargetMode="External"/><Relationship Id="rId6" Type="http://schemas.openxmlformats.org/officeDocument/2006/relationships/hyperlink" Target="https://fgis.gost.ru/fundmetrology/registry/4/items/1414889" TargetMode="External"/><Relationship Id="rId15" Type="http://schemas.openxmlformats.org/officeDocument/2006/relationships/hyperlink" Target="https://fgis.gost.ru/fundmetrology/registry/4/items/333372" TargetMode="External"/><Relationship Id="rId23" Type="http://schemas.openxmlformats.org/officeDocument/2006/relationships/hyperlink" Target="https://fgis.gost.ru/fundmetrology/registry/4/items/355265" TargetMode="External"/><Relationship Id="rId28" Type="http://schemas.openxmlformats.org/officeDocument/2006/relationships/hyperlink" Target="https://fgis.gost.ru/fundmetrology/registry/4/items/321770" TargetMode="External"/><Relationship Id="rId36" Type="http://schemas.openxmlformats.org/officeDocument/2006/relationships/hyperlink" Target="https://fgis.gost.ru/fundmetrology/registry/4/items/370237" TargetMode="External"/><Relationship Id="rId49" Type="http://schemas.openxmlformats.org/officeDocument/2006/relationships/hyperlink" Target="https://fgis.gost.ru/fundmetrology/registry/4/items/348176" TargetMode="External"/><Relationship Id="rId57" Type="http://schemas.openxmlformats.org/officeDocument/2006/relationships/hyperlink" Target="https://fgis.gost.ru/fundmetrology/cm/results/1-271682401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fgis.gost.ru/fundmetrology/registry/4/items/789850" TargetMode="External"/><Relationship Id="rId31" Type="http://schemas.openxmlformats.org/officeDocument/2006/relationships/hyperlink" Target="https://fgis.gost.ru/fundmetrology/registry/4/items/492442" TargetMode="External"/><Relationship Id="rId44" Type="http://schemas.openxmlformats.org/officeDocument/2006/relationships/hyperlink" Target="https://fgis.gost.ru/fundmetrology/registry/4/items/364201" TargetMode="External"/><Relationship Id="rId52" Type="http://schemas.openxmlformats.org/officeDocument/2006/relationships/hyperlink" Target="https://all-pribors.ru/opisanie/31045-06-advantest-r3465-30782" TargetMode="External"/><Relationship Id="rId60" Type="http://schemas.openxmlformats.org/officeDocument/2006/relationships/hyperlink" Target="https://fgis.gost.ru/fundmetrology/registry/4/items/369156" TargetMode="External"/><Relationship Id="rId65" Type="http://schemas.openxmlformats.org/officeDocument/2006/relationships/hyperlink" Target="https://fgis.gost.ru/fundmetrology/registry/4/items/364201" TargetMode="External"/><Relationship Id="rId73" Type="http://schemas.openxmlformats.org/officeDocument/2006/relationships/hyperlink" Target="https://fgis.gost.ru/fundmetrology/registry/4/items/388188" TargetMode="External"/><Relationship Id="rId78" Type="http://schemas.openxmlformats.org/officeDocument/2006/relationships/hyperlink" Target="https://fgis.gost.ru/fundmetrology/registry/4/items/388188" TargetMode="External"/><Relationship Id="rId81" Type="http://schemas.openxmlformats.org/officeDocument/2006/relationships/hyperlink" Target="https://fgis.gost.ru/fundmetrology/cm/results/1-322585227" TargetMode="External"/><Relationship Id="rId86" Type="http://schemas.openxmlformats.org/officeDocument/2006/relationships/hyperlink" Target="https://fgis.gost.ru/fundmetrology/cm/results/1-326695028" TargetMode="External"/><Relationship Id="rId94" Type="http://schemas.openxmlformats.org/officeDocument/2006/relationships/hyperlink" Target="https://fgis.gost.ru/fundmetrology/cm/results/1-322581466" TargetMode="External"/><Relationship Id="rId99" Type="http://schemas.openxmlformats.org/officeDocument/2006/relationships/hyperlink" Target="https://fgis.gost.ru/fundmetrology/registry/4/items/1364331" TargetMode="External"/><Relationship Id="rId101" Type="http://schemas.openxmlformats.org/officeDocument/2006/relationships/hyperlink" Target="https://fgis.gost.ru/fundmetrology/cm/results/1-418329776" TargetMode="External"/><Relationship Id="rId4" Type="http://schemas.openxmlformats.org/officeDocument/2006/relationships/hyperlink" Target="https://fgis.gost.ru/fundmetrology/registry/4/items/333369" TargetMode="External"/><Relationship Id="rId9" Type="http://schemas.openxmlformats.org/officeDocument/2006/relationships/hyperlink" Target="https://fgis.gost.ru/fundmetrology/registry/4/items/355265" TargetMode="External"/><Relationship Id="rId13" Type="http://schemas.openxmlformats.org/officeDocument/2006/relationships/hyperlink" Target="https://fgis.gost.ru/fundmetrology/registry/4/items/717884" TargetMode="External"/><Relationship Id="rId18" Type="http://schemas.openxmlformats.org/officeDocument/2006/relationships/hyperlink" Target="https://fgis.gost.ru/fundmetrology/registry/4/items/1381792" TargetMode="External"/><Relationship Id="rId39" Type="http://schemas.openxmlformats.org/officeDocument/2006/relationships/hyperlink" Target="https://fgis.gost.ru/fundmetrology/registry/4/items/1385842" TargetMode="External"/><Relationship Id="rId34" Type="http://schemas.openxmlformats.org/officeDocument/2006/relationships/hyperlink" Target="https://fgis.gost.ru/fundmetrology/registry/4/items/360570" TargetMode="External"/><Relationship Id="rId50" Type="http://schemas.openxmlformats.org/officeDocument/2006/relationships/hyperlink" Target="https://fgis.gost.ru/fundmetrology/registry/4/items/382603" TargetMode="External"/><Relationship Id="rId55" Type="http://schemas.openxmlformats.org/officeDocument/2006/relationships/hyperlink" Target="https://fgis.gost.ru/fundmetrology/cm/results/1-279127743" TargetMode="External"/><Relationship Id="rId76" Type="http://schemas.openxmlformats.org/officeDocument/2006/relationships/hyperlink" Target="https://fgis.gost.ru/fundmetrology/registry/4/items/340243" TargetMode="External"/><Relationship Id="rId97" Type="http://schemas.openxmlformats.org/officeDocument/2006/relationships/hyperlink" Target="https://fgis.gost.ru/fundmetrology/cm/results/1-358977888" TargetMode="External"/><Relationship Id="rId104" Type="http://schemas.openxmlformats.org/officeDocument/2006/relationships/hyperlink" Target="https://fgis.gost.ru/fundmetrology/registry/4/items/364938" TargetMode="External"/><Relationship Id="rId7" Type="http://schemas.openxmlformats.org/officeDocument/2006/relationships/hyperlink" Target="https://fgis.gost.ru/fundmetrology/registry/4/items/361645" TargetMode="External"/><Relationship Id="rId71" Type="http://schemas.openxmlformats.org/officeDocument/2006/relationships/hyperlink" Target="https://fgis.gost.ru/fundmetrology/registry/4/items/388188" TargetMode="External"/><Relationship Id="rId92" Type="http://schemas.openxmlformats.org/officeDocument/2006/relationships/hyperlink" Target="https://fgis.gost.ru/fundmetrology/cm/results/1-258940008" TargetMode="External"/><Relationship Id="rId2" Type="http://schemas.openxmlformats.org/officeDocument/2006/relationships/hyperlink" Target="https://fgis.gost.ru/fundmetrology/registry/4/items/359947" TargetMode="External"/><Relationship Id="rId29" Type="http://schemas.openxmlformats.org/officeDocument/2006/relationships/hyperlink" Target="https://fgis.gost.ru/fundmetrology/registry/4/items/492442" TargetMode="External"/><Relationship Id="rId24" Type="http://schemas.openxmlformats.org/officeDocument/2006/relationships/hyperlink" Target="https://fgis.gost.ru/fundmetrology/registry/4/items/337512" TargetMode="External"/><Relationship Id="rId40" Type="http://schemas.openxmlformats.org/officeDocument/2006/relationships/hyperlink" Target="https://fgis.gost.ru/fundmetrology/registry/4/items/355265" TargetMode="External"/><Relationship Id="rId45" Type="http://schemas.openxmlformats.org/officeDocument/2006/relationships/hyperlink" Target="https://fgis.gost.ru/fundmetrology/registry/4/items/1414889" TargetMode="External"/><Relationship Id="rId66" Type="http://schemas.openxmlformats.org/officeDocument/2006/relationships/hyperlink" Target="https://fgis.gost.ru/fundmetrology/registry/4/items/1396945" TargetMode="External"/><Relationship Id="rId87" Type="http://schemas.openxmlformats.org/officeDocument/2006/relationships/hyperlink" Target="https://fgis.gost.ru/fundmetrology/registry/4/items/1384885" TargetMode="External"/><Relationship Id="rId61" Type="http://schemas.openxmlformats.org/officeDocument/2006/relationships/hyperlink" Target="https://fgis.gost.ru/fundmetrology/registry/4/items/364186" TargetMode="External"/><Relationship Id="rId82" Type="http://schemas.openxmlformats.org/officeDocument/2006/relationships/hyperlink" Target="https://fgis.gost.ru/fundmetrology/cm/results/1-320207254" TargetMode="External"/><Relationship Id="rId19" Type="http://schemas.openxmlformats.org/officeDocument/2006/relationships/hyperlink" Target="https://fgis.gost.ru/fundmetrology/registry/4/items/346459" TargetMode="External"/><Relationship Id="rId14" Type="http://schemas.openxmlformats.org/officeDocument/2006/relationships/hyperlink" Target="https://fgis.gost.ru/fundmetrology/registry/4/items/333372" TargetMode="External"/><Relationship Id="rId30" Type="http://schemas.openxmlformats.org/officeDocument/2006/relationships/hyperlink" Target="https://fgis.gost.ru/fundmetrology/registry/4/items/333372" TargetMode="External"/><Relationship Id="rId35" Type="http://schemas.openxmlformats.org/officeDocument/2006/relationships/hyperlink" Target="https://fgis.gost.ru/fundmetrology/registry/4/items/891917" TargetMode="External"/><Relationship Id="rId56" Type="http://schemas.openxmlformats.org/officeDocument/2006/relationships/hyperlink" Target="https://fgis.gost.ru/fundmetrology/cm/results/1-276430250" TargetMode="External"/><Relationship Id="rId77" Type="http://schemas.openxmlformats.org/officeDocument/2006/relationships/hyperlink" Target="https://fgis.gost.ru/fundmetrology/registry/4/items/368073" TargetMode="External"/><Relationship Id="rId100" Type="http://schemas.openxmlformats.org/officeDocument/2006/relationships/hyperlink" Target="https://fgis.gost.ru/fundmetrology/cm/results/1-371577672" TargetMode="External"/><Relationship Id="rId105" Type="http://schemas.openxmlformats.org/officeDocument/2006/relationships/hyperlink" Target="https://fgis.gost.ru/fundmetrology/registry/4/items/364938" TargetMode="External"/><Relationship Id="rId8" Type="http://schemas.openxmlformats.org/officeDocument/2006/relationships/hyperlink" Target="https://fgis.gost.ru/fundmetrology/registry/4/items/348176" TargetMode="External"/><Relationship Id="rId51" Type="http://schemas.openxmlformats.org/officeDocument/2006/relationships/hyperlink" Target="https://fgis.gost.ru/fundmetrology/registry/4/items/1414889" TargetMode="External"/><Relationship Id="rId72" Type="http://schemas.openxmlformats.org/officeDocument/2006/relationships/hyperlink" Target="https://fgis.gost.ru/fundmetrology/registry/4/items/1404624" TargetMode="External"/><Relationship Id="rId93" Type="http://schemas.openxmlformats.org/officeDocument/2006/relationships/hyperlink" Target="https://fgis.gost.ru/fundmetrology/cm/results/1-337273316" TargetMode="External"/><Relationship Id="rId98" Type="http://schemas.openxmlformats.org/officeDocument/2006/relationships/hyperlink" Target="https://fgis.gost.ru/fundmetrology/cm/results/1-358976725" TargetMode="External"/><Relationship Id="rId3" Type="http://schemas.openxmlformats.org/officeDocument/2006/relationships/hyperlink" Target="https://fgis.gost.ru/fundmetrology/registry/4/items/337512" TargetMode="External"/><Relationship Id="rId25" Type="http://schemas.openxmlformats.org/officeDocument/2006/relationships/hyperlink" Target="https://fgis.gost.ru/fundmetrology/registry/4/items/333372" TargetMode="External"/><Relationship Id="rId46" Type="http://schemas.openxmlformats.org/officeDocument/2006/relationships/hyperlink" Target="https://fgis.gost.ru/fundmetrology/registry/4/items/492399" TargetMode="External"/><Relationship Id="rId67" Type="http://schemas.openxmlformats.org/officeDocument/2006/relationships/hyperlink" Target="https://fgis.gost.ru/fundmetrology/registry/4/items/89191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9" tint="0.59999389629810485"/>
  </sheetPr>
  <dimension ref="A1:N86"/>
  <sheetViews>
    <sheetView zoomScale="85" zoomScaleNormal="85" zoomScaleSheetLayoutView="100" workbookViewId="0">
      <pane ySplit="2" topLeftCell="A3" activePane="bottomLeft" state="frozen"/>
      <selection pane="bottomLeft" activeCell="C2" sqref="C2"/>
    </sheetView>
  </sheetViews>
  <sheetFormatPr defaultColWidth="8.85546875" defaultRowHeight="15.75" x14ac:dyDescent="0.25"/>
  <cols>
    <col min="1" max="1" width="8.7109375" style="8" bestFit="1" customWidth="1"/>
    <col min="2" max="2" width="92.28515625" style="8" bestFit="1" customWidth="1"/>
    <col min="3" max="3" width="32.5703125" style="8" customWidth="1"/>
    <col min="4" max="4" width="25.42578125" style="9" customWidth="1"/>
    <col min="5" max="5" width="34.28515625" style="9" customWidth="1"/>
    <col min="6" max="6" width="10.7109375" style="9" customWidth="1"/>
    <col min="7" max="7" width="15" style="8" customWidth="1"/>
    <col min="8" max="8" width="29.140625" style="18" customWidth="1"/>
    <col min="9" max="9" width="13.5703125" style="8" customWidth="1"/>
    <col min="10" max="10" width="18.140625" style="8" customWidth="1"/>
    <col min="11" max="11" width="17.42578125" style="8" customWidth="1"/>
    <col min="12" max="12" width="21.42578125" style="8" bestFit="1" customWidth="1"/>
    <col min="13" max="13" width="55.28515625" style="8" customWidth="1"/>
    <col min="14" max="14" width="18.28515625" style="42" customWidth="1"/>
    <col min="15" max="16384" width="8.85546875" style="8"/>
  </cols>
  <sheetData>
    <row r="1" spans="1:14" x14ac:dyDescent="0.25">
      <c r="A1" s="13"/>
      <c r="B1" s="12">
        <f ca="1">TODAY()</f>
        <v>45937</v>
      </c>
      <c r="C1" s="48"/>
      <c r="D1" s="48"/>
      <c r="E1" s="11"/>
      <c r="F1" s="11"/>
      <c r="G1" s="13"/>
      <c r="H1" s="12"/>
      <c r="I1" s="13"/>
      <c r="J1" s="13"/>
      <c r="K1" s="13"/>
      <c r="L1" s="13"/>
      <c r="M1" s="13"/>
      <c r="N1" s="40"/>
    </row>
    <row r="2" spans="1:14" ht="31.5" x14ac:dyDescent="0.25">
      <c r="A2" s="13" t="s">
        <v>3</v>
      </c>
      <c r="B2" s="13" t="s">
        <v>23</v>
      </c>
      <c r="C2" s="13" t="s">
        <v>24</v>
      </c>
      <c r="D2" s="11" t="s">
        <v>2</v>
      </c>
      <c r="E2" s="11" t="s">
        <v>616</v>
      </c>
      <c r="F2" s="11" t="s">
        <v>12</v>
      </c>
      <c r="G2" s="13" t="s">
        <v>615</v>
      </c>
      <c r="H2" s="12" t="s">
        <v>614</v>
      </c>
      <c r="I2" s="13" t="s">
        <v>613</v>
      </c>
      <c r="J2" s="13" t="s">
        <v>617</v>
      </c>
      <c r="K2" s="13" t="s">
        <v>611</v>
      </c>
      <c r="L2" s="13" t="s">
        <v>612</v>
      </c>
      <c r="M2" s="13" t="s">
        <v>1</v>
      </c>
      <c r="N2" s="41" t="s">
        <v>618</v>
      </c>
    </row>
    <row r="3" spans="1:14" x14ac:dyDescent="0.25">
      <c r="A3" s="13">
        <v>1</v>
      </c>
      <c r="B3" s="20" t="s">
        <v>145</v>
      </c>
      <c r="C3" s="13" t="s">
        <v>143</v>
      </c>
      <c r="D3" s="11" t="s">
        <v>146</v>
      </c>
      <c r="E3" s="33" t="s">
        <v>585</v>
      </c>
      <c r="F3" s="11">
        <v>2</v>
      </c>
      <c r="G3" s="12">
        <v>45504</v>
      </c>
      <c r="H3" s="12">
        <f>Таблица1[[#This Row],[дата св-ва о поверке]]+(Таблица1[[#This Row],[МПИ]]*365) -1</f>
        <v>46233</v>
      </c>
      <c r="I3" s="15">
        <f t="shared" ref="I3:I34" ca="1" si="0">H3-data</f>
        <v>296</v>
      </c>
      <c r="J3" s="13" t="s">
        <v>349</v>
      </c>
      <c r="K3" s="13"/>
      <c r="L3" s="34" t="s">
        <v>144</v>
      </c>
      <c r="M3" s="13"/>
      <c r="N3" s="40">
        <v>13800</v>
      </c>
    </row>
    <row r="4" spans="1:14" x14ac:dyDescent="0.25">
      <c r="A4" s="13">
        <v>2</v>
      </c>
      <c r="B4" s="20" t="s">
        <v>211</v>
      </c>
      <c r="C4" s="13" t="s">
        <v>212</v>
      </c>
      <c r="D4" s="11" t="s">
        <v>214</v>
      </c>
      <c r="E4" s="33" t="s">
        <v>607</v>
      </c>
      <c r="F4" s="11">
        <v>1</v>
      </c>
      <c r="G4" s="12">
        <v>45814</v>
      </c>
      <c r="H4" s="12">
        <f>Таблица1[[#This Row],[дата св-ва о поверке]]+(Таблица1[[#This Row],[МПИ]]*365) -1</f>
        <v>46178</v>
      </c>
      <c r="I4" s="15">
        <f t="shared" ca="1" si="0"/>
        <v>241</v>
      </c>
      <c r="J4" s="13" t="s">
        <v>360</v>
      </c>
      <c r="K4" s="13"/>
      <c r="L4" s="34" t="s">
        <v>213</v>
      </c>
      <c r="M4" s="13"/>
      <c r="N4" s="40">
        <v>24365</v>
      </c>
    </row>
    <row r="5" spans="1:14" ht="31.5" x14ac:dyDescent="0.25">
      <c r="A5" s="13">
        <v>3</v>
      </c>
      <c r="B5" s="20" t="s">
        <v>501</v>
      </c>
      <c r="C5" s="13" t="s">
        <v>502</v>
      </c>
      <c r="D5" s="11" t="s">
        <v>503</v>
      </c>
      <c r="E5" s="33" t="s">
        <v>504</v>
      </c>
      <c r="F5" s="11" t="s">
        <v>17</v>
      </c>
      <c r="G5" s="12">
        <v>45398</v>
      </c>
      <c r="H5" s="12">
        <f>Таблица1[[#This Row],[дата св-ва о поверке]]+(Таблица1[[#This Row],[МПИ]]*365) -1</f>
        <v>46127</v>
      </c>
      <c r="I5" s="15">
        <f t="shared" ca="1" si="0"/>
        <v>190</v>
      </c>
      <c r="J5" s="13"/>
      <c r="K5" s="13"/>
      <c r="L5" s="34" t="s">
        <v>548</v>
      </c>
      <c r="M5" s="13" t="s">
        <v>549</v>
      </c>
      <c r="N5" s="40"/>
    </row>
    <row r="6" spans="1:14" ht="31.5" x14ac:dyDescent="0.25">
      <c r="A6" s="13">
        <v>4</v>
      </c>
      <c r="B6" s="20" t="s">
        <v>501</v>
      </c>
      <c r="C6" s="13" t="s">
        <v>502</v>
      </c>
      <c r="D6" s="11" t="s">
        <v>520</v>
      </c>
      <c r="E6" s="33" t="s">
        <v>521</v>
      </c>
      <c r="F6" s="11" t="s">
        <v>17</v>
      </c>
      <c r="G6" s="12">
        <v>45341</v>
      </c>
      <c r="H6" s="12">
        <f>Таблица1[[#This Row],[дата св-ва о поверке]]+(Таблица1[[#This Row],[МПИ]]*365) -1</f>
        <v>46070</v>
      </c>
      <c r="I6" s="15">
        <f t="shared" ca="1" si="0"/>
        <v>133</v>
      </c>
      <c r="J6" s="13"/>
      <c r="K6" s="13"/>
      <c r="L6" s="34" t="s">
        <v>548</v>
      </c>
      <c r="M6" s="13" t="s">
        <v>559</v>
      </c>
      <c r="N6" s="40"/>
    </row>
    <row r="7" spans="1:14" ht="31.5" x14ac:dyDescent="0.25">
      <c r="A7" s="13">
        <v>5</v>
      </c>
      <c r="B7" s="20" t="s">
        <v>501</v>
      </c>
      <c r="C7" s="13" t="s">
        <v>502</v>
      </c>
      <c r="D7" s="11" t="s">
        <v>508</v>
      </c>
      <c r="E7" s="33" t="s">
        <v>509</v>
      </c>
      <c r="F7" s="11" t="s">
        <v>17</v>
      </c>
      <c r="G7" s="12">
        <v>45339</v>
      </c>
      <c r="H7" s="12">
        <f>Таблица1[[#This Row],[дата св-ва о поверке]]+(Таблица1[[#This Row],[МПИ]]*365) -1</f>
        <v>46068</v>
      </c>
      <c r="I7" s="15">
        <f t="shared" ca="1" si="0"/>
        <v>131</v>
      </c>
      <c r="J7" s="13"/>
      <c r="K7" s="13"/>
      <c r="L7" s="34" t="s">
        <v>548</v>
      </c>
      <c r="M7" s="13" t="s">
        <v>549</v>
      </c>
      <c r="N7" s="40"/>
    </row>
    <row r="8" spans="1:14" ht="31.5" x14ac:dyDescent="0.25">
      <c r="A8" s="13">
        <v>6</v>
      </c>
      <c r="B8" s="20" t="s">
        <v>501</v>
      </c>
      <c r="C8" s="13" t="s">
        <v>502</v>
      </c>
      <c r="D8" s="11" t="s">
        <v>518</v>
      </c>
      <c r="E8" s="33" t="s">
        <v>519</v>
      </c>
      <c r="F8" s="11" t="s">
        <v>17</v>
      </c>
      <c r="G8" s="12">
        <v>45232</v>
      </c>
      <c r="H8" s="12">
        <f>Таблица1[[#This Row],[дата св-ва о поверке]]+(Таблица1[[#This Row],[МПИ]]*365) -1</f>
        <v>45961</v>
      </c>
      <c r="I8" s="15">
        <f t="shared" ca="1" si="0"/>
        <v>24</v>
      </c>
      <c r="J8" s="13"/>
      <c r="K8" s="13"/>
      <c r="L8" s="34" t="s">
        <v>548</v>
      </c>
      <c r="M8" s="13" t="s">
        <v>558</v>
      </c>
      <c r="N8" s="40"/>
    </row>
    <row r="9" spans="1:14" x14ac:dyDescent="0.25">
      <c r="A9" s="13">
        <v>7</v>
      </c>
      <c r="B9" s="20" t="s">
        <v>596</v>
      </c>
      <c r="C9" s="13" t="s">
        <v>597</v>
      </c>
      <c r="D9" s="11" t="s">
        <v>594</v>
      </c>
      <c r="E9" s="33" t="s">
        <v>593</v>
      </c>
      <c r="F9" s="11" t="s">
        <v>11</v>
      </c>
      <c r="G9" s="12">
        <v>45553</v>
      </c>
      <c r="H9" s="12">
        <f>Таблица1[[#This Row],[дата св-ва о поверке]]+(Таблица1[[#This Row],[МПИ]]*365) -1</f>
        <v>45917</v>
      </c>
      <c r="I9" s="15">
        <f t="shared" ca="1" si="0"/>
        <v>-20</v>
      </c>
      <c r="J9" s="13"/>
      <c r="K9" s="13"/>
      <c r="L9" s="34" t="s">
        <v>595</v>
      </c>
      <c r="M9" s="13"/>
      <c r="N9" s="40"/>
    </row>
    <row r="10" spans="1:14" x14ac:dyDescent="0.25">
      <c r="A10" s="13">
        <v>8</v>
      </c>
      <c r="B10" s="20" t="s">
        <v>600</v>
      </c>
      <c r="C10" s="13" t="s">
        <v>161</v>
      </c>
      <c r="D10" s="11" t="s">
        <v>162</v>
      </c>
      <c r="E10" s="33" t="s">
        <v>584</v>
      </c>
      <c r="F10" s="11">
        <v>1</v>
      </c>
      <c r="G10" s="12">
        <v>45504</v>
      </c>
      <c r="H10" s="12">
        <f>Таблица1[[#This Row],[дата св-ва о поверке]]+(Таблица1[[#This Row],[МПИ]]*365) -1</f>
        <v>45868</v>
      </c>
      <c r="I10" s="15">
        <f t="shared" ca="1" si="0"/>
        <v>-69</v>
      </c>
      <c r="J10" s="13" t="s">
        <v>338</v>
      </c>
      <c r="K10" s="13"/>
      <c r="L10" s="34" t="s">
        <v>163</v>
      </c>
      <c r="M10" s="13"/>
      <c r="N10" s="40">
        <v>14000</v>
      </c>
    </row>
    <row r="11" spans="1:14" ht="31.5" x14ac:dyDescent="0.25">
      <c r="A11" s="13">
        <v>9</v>
      </c>
      <c r="B11" s="20" t="s">
        <v>501</v>
      </c>
      <c r="C11" s="13" t="s">
        <v>502</v>
      </c>
      <c r="D11" s="11" t="s">
        <v>522</v>
      </c>
      <c r="E11" s="33" t="s">
        <v>523</v>
      </c>
      <c r="F11" s="11" t="s">
        <v>17</v>
      </c>
      <c r="G11" s="12">
        <v>45087</v>
      </c>
      <c r="H11" s="12">
        <f>Таблица1[[#This Row],[дата св-ва о поверке]]+(Таблица1[[#This Row],[МПИ]]*365) -1</f>
        <v>45816</v>
      </c>
      <c r="I11" s="15">
        <f t="shared" ca="1" si="0"/>
        <v>-121</v>
      </c>
      <c r="J11" s="13"/>
      <c r="K11" s="13"/>
      <c r="L11" s="34" t="s">
        <v>548</v>
      </c>
      <c r="M11" s="13" t="s">
        <v>559</v>
      </c>
      <c r="N11" s="40"/>
    </row>
    <row r="12" spans="1:14" x14ac:dyDescent="0.25">
      <c r="A12" s="13">
        <v>10</v>
      </c>
      <c r="B12" s="20" t="s">
        <v>166</v>
      </c>
      <c r="C12" s="13" t="s">
        <v>164</v>
      </c>
      <c r="D12" s="11" t="s">
        <v>363</v>
      </c>
      <c r="E12" s="33" t="s">
        <v>583</v>
      </c>
      <c r="F12" s="11" t="s">
        <v>11</v>
      </c>
      <c r="G12" s="12">
        <v>45450</v>
      </c>
      <c r="H12" s="12">
        <f>Таблица1[[#This Row],[дата св-ва о поверке]]+(Таблица1[[#This Row],[МПИ]]*365) -1</f>
        <v>45814</v>
      </c>
      <c r="I12" s="15">
        <f t="shared" ca="1" si="0"/>
        <v>-123</v>
      </c>
      <c r="J12" s="13"/>
      <c r="K12" s="13"/>
      <c r="L12" s="34" t="s">
        <v>165</v>
      </c>
      <c r="M12" s="13"/>
      <c r="N12" s="40">
        <v>18800</v>
      </c>
    </row>
    <row r="13" spans="1:14" x14ac:dyDescent="0.25">
      <c r="A13" s="13">
        <v>11</v>
      </c>
      <c r="B13" s="20" t="s">
        <v>539</v>
      </c>
      <c r="C13" s="13" t="s">
        <v>540</v>
      </c>
      <c r="D13" s="11" t="s">
        <v>541</v>
      </c>
      <c r="E13" s="33" t="s">
        <v>542</v>
      </c>
      <c r="F13" s="11" t="s">
        <v>11</v>
      </c>
      <c r="G13" s="12">
        <v>45420</v>
      </c>
      <c r="H13" s="12">
        <f>Таблица1[[#This Row],[дата св-ва о поверке]]+(Таблица1[[#This Row],[МПИ]]*365) -1</f>
        <v>45784</v>
      </c>
      <c r="I13" s="15">
        <f t="shared" ca="1" si="0"/>
        <v>-153</v>
      </c>
      <c r="J13" s="13"/>
      <c r="K13" s="13"/>
      <c r="L13" s="34" t="s">
        <v>568</v>
      </c>
      <c r="M13" s="13" t="s">
        <v>569</v>
      </c>
      <c r="N13" s="40">
        <v>250</v>
      </c>
    </row>
    <row r="14" spans="1:14" x14ac:dyDescent="0.25">
      <c r="A14" s="13">
        <v>12</v>
      </c>
      <c r="B14" s="20" t="s">
        <v>535</v>
      </c>
      <c r="C14" s="13" t="s">
        <v>536</v>
      </c>
      <c r="D14" s="11" t="s">
        <v>537</v>
      </c>
      <c r="E14" s="33" t="s">
        <v>538</v>
      </c>
      <c r="F14" s="11" t="s">
        <v>11</v>
      </c>
      <c r="G14" s="12">
        <v>45420</v>
      </c>
      <c r="H14" s="12">
        <f>Таблица1[[#This Row],[дата св-ва о поверке]]+(Таблица1[[#This Row],[МПИ]]*365) -1</f>
        <v>45784</v>
      </c>
      <c r="I14" s="15">
        <f t="shared" ca="1" si="0"/>
        <v>-153</v>
      </c>
      <c r="J14" s="13"/>
      <c r="K14" s="13"/>
      <c r="L14" s="34" t="s">
        <v>566</v>
      </c>
      <c r="M14" s="13" t="s">
        <v>567</v>
      </c>
      <c r="N14" s="40"/>
    </row>
    <row r="15" spans="1:14" ht="31.5" x14ac:dyDescent="0.25">
      <c r="A15" s="13">
        <v>13</v>
      </c>
      <c r="B15" s="20" t="s">
        <v>532</v>
      </c>
      <c r="C15" s="13" t="s">
        <v>533</v>
      </c>
      <c r="D15" s="11">
        <v>23053715</v>
      </c>
      <c r="E15" s="33" t="s">
        <v>534</v>
      </c>
      <c r="F15" s="11" t="s">
        <v>11</v>
      </c>
      <c r="G15" s="12">
        <v>45377</v>
      </c>
      <c r="H15" s="12">
        <f>Таблица1[[#This Row],[дата св-ва о поверке]]+(Таблица1[[#This Row],[МПИ]]*365) -1</f>
        <v>45741</v>
      </c>
      <c r="I15" s="15">
        <f t="shared" ca="1" si="0"/>
        <v>-196</v>
      </c>
      <c r="J15" s="13"/>
      <c r="K15" s="13"/>
      <c r="L15" s="34" t="s">
        <v>564</v>
      </c>
      <c r="M15" s="13" t="s">
        <v>565</v>
      </c>
      <c r="N15" s="40"/>
    </row>
    <row r="16" spans="1:14" x14ac:dyDescent="0.25">
      <c r="A16" s="13">
        <v>14</v>
      </c>
      <c r="B16" s="20" t="s">
        <v>524</v>
      </c>
      <c r="C16" s="13" t="s">
        <v>525</v>
      </c>
      <c r="D16" s="11" t="s">
        <v>526</v>
      </c>
      <c r="E16" s="33" t="s">
        <v>527</v>
      </c>
      <c r="F16" s="11" t="s">
        <v>11</v>
      </c>
      <c r="G16" s="12">
        <v>45352</v>
      </c>
      <c r="H16" s="12">
        <f>Таблица1[[#This Row],[дата св-ва о поверке]]+(Таблица1[[#This Row],[МПИ]]*365) -1</f>
        <v>45716</v>
      </c>
      <c r="I16" s="15">
        <f t="shared" ca="1" si="0"/>
        <v>-221</v>
      </c>
      <c r="J16" s="13"/>
      <c r="K16" s="13"/>
      <c r="L16" s="34" t="s">
        <v>560</v>
      </c>
      <c r="M16" s="13" t="s">
        <v>561</v>
      </c>
      <c r="N16" s="40"/>
    </row>
    <row r="17" spans="1:14" x14ac:dyDescent="0.25">
      <c r="A17" s="13">
        <v>15</v>
      </c>
      <c r="B17" s="20" t="s">
        <v>528</v>
      </c>
      <c r="C17" s="13" t="s">
        <v>529</v>
      </c>
      <c r="D17" s="11" t="s">
        <v>530</v>
      </c>
      <c r="E17" s="33" t="s">
        <v>531</v>
      </c>
      <c r="F17" s="11" t="s">
        <v>11</v>
      </c>
      <c r="G17" s="12">
        <v>45313</v>
      </c>
      <c r="H17" s="12">
        <f>Таблица1[[#This Row],[дата св-ва о поверке]]+(Таблица1[[#This Row],[МПИ]]*365) -1</f>
        <v>45677</v>
      </c>
      <c r="I17" s="15">
        <f t="shared" ca="1" si="0"/>
        <v>-260</v>
      </c>
      <c r="J17" s="13"/>
      <c r="K17" s="13"/>
      <c r="L17" s="34" t="s">
        <v>562</v>
      </c>
      <c r="M17" s="13" t="s">
        <v>563</v>
      </c>
      <c r="N17" s="40"/>
    </row>
    <row r="18" spans="1:14" x14ac:dyDescent="0.25">
      <c r="A18" s="13">
        <v>16</v>
      </c>
      <c r="B18" s="20" t="s">
        <v>47</v>
      </c>
      <c r="C18" s="13" t="s">
        <v>48</v>
      </c>
      <c r="D18" s="11" t="s">
        <v>46</v>
      </c>
      <c r="E18" s="33" t="s">
        <v>310</v>
      </c>
      <c r="F18" s="11">
        <v>1</v>
      </c>
      <c r="G18" s="12">
        <v>45187</v>
      </c>
      <c r="H18" s="12">
        <f>Таблица1[[#This Row],[дата св-ва о поверке]]+(Таблица1[[#This Row],[МПИ]]*365) -1</f>
        <v>45551</v>
      </c>
      <c r="I18" s="15">
        <f t="shared" ca="1" si="0"/>
        <v>-386</v>
      </c>
      <c r="J18" s="13" t="s">
        <v>336</v>
      </c>
      <c r="K18" s="13"/>
      <c r="L18" s="34" t="s">
        <v>49</v>
      </c>
      <c r="M18" s="13"/>
      <c r="N18" s="40"/>
    </row>
    <row r="19" spans="1:14" x14ac:dyDescent="0.25">
      <c r="A19" s="13">
        <v>17</v>
      </c>
      <c r="B19" s="20" t="s">
        <v>32</v>
      </c>
      <c r="C19" s="13" t="s">
        <v>137</v>
      </c>
      <c r="D19" s="11" t="s">
        <v>141</v>
      </c>
      <c r="E19" s="33" t="s">
        <v>314</v>
      </c>
      <c r="F19" s="11">
        <v>1</v>
      </c>
      <c r="G19" s="12">
        <v>45187</v>
      </c>
      <c r="H19" s="12">
        <f>Таблица1[[#This Row],[дата св-ва о поверке]]+(Таблица1[[#This Row],[МПИ]]*365) -1</f>
        <v>45551</v>
      </c>
      <c r="I19" s="15">
        <f t="shared" ca="1" si="0"/>
        <v>-386</v>
      </c>
      <c r="J19" s="13" t="s">
        <v>346</v>
      </c>
      <c r="K19" s="13"/>
      <c r="L19" s="34" t="s">
        <v>139</v>
      </c>
      <c r="M19" s="13"/>
      <c r="N19" s="40"/>
    </row>
    <row r="20" spans="1:14" x14ac:dyDescent="0.25">
      <c r="A20" s="13">
        <v>18</v>
      </c>
      <c r="B20" s="20" t="s">
        <v>35</v>
      </c>
      <c r="C20" s="13" t="s">
        <v>228</v>
      </c>
      <c r="D20" s="11" t="s">
        <v>230</v>
      </c>
      <c r="E20" s="33" t="s">
        <v>610</v>
      </c>
      <c r="F20" s="11" t="s">
        <v>11</v>
      </c>
      <c r="G20" s="12">
        <v>45187</v>
      </c>
      <c r="H20" s="12">
        <f>Таблица1[[#This Row],[дата св-ва о поверке]]+(Таблица1[[#This Row],[МПИ]]*365) -1</f>
        <v>45551</v>
      </c>
      <c r="I20" s="15">
        <f t="shared" ca="1" si="0"/>
        <v>-386</v>
      </c>
      <c r="J20" s="13" t="s">
        <v>345</v>
      </c>
      <c r="K20" s="13"/>
      <c r="L20" s="34" t="s">
        <v>229</v>
      </c>
      <c r="M20" s="13"/>
      <c r="N20" s="40"/>
    </row>
    <row r="21" spans="1:14" x14ac:dyDescent="0.25">
      <c r="A21" s="13">
        <v>19</v>
      </c>
      <c r="B21" s="20" t="s">
        <v>67</v>
      </c>
      <c r="C21" s="13" t="s">
        <v>239</v>
      </c>
      <c r="D21" s="11" t="s">
        <v>609</v>
      </c>
      <c r="E21" s="33" t="s">
        <v>608</v>
      </c>
      <c r="F21" s="11">
        <v>1</v>
      </c>
      <c r="G21" s="12">
        <v>45187</v>
      </c>
      <c r="H21" s="12">
        <f>Таблица1[[#This Row],[дата св-ва о поверке]]+(Таблица1[[#This Row],[МПИ]]*365) -1</f>
        <v>45551</v>
      </c>
      <c r="I21" s="15">
        <f t="shared" ca="1" si="0"/>
        <v>-386</v>
      </c>
      <c r="J21" s="13" t="s">
        <v>358</v>
      </c>
      <c r="K21" s="13"/>
      <c r="L21" s="34" t="s">
        <v>66</v>
      </c>
      <c r="M21" s="13"/>
      <c r="N21" s="40">
        <v>2500</v>
      </c>
    </row>
    <row r="22" spans="1:14" x14ac:dyDescent="0.25">
      <c r="A22" s="13">
        <v>20</v>
      </c>
      <c r="B22" s="20" t="s">
        <v>307</v>
      </c>
      <c r="C22" s="13" t="s">
        <v>308</v>
      </c>
      <c r="D22" s="11" t="s">
        <v>309</v>
      </c>
      <c r="E22" s="33" t="s">
        <v>311</v>
      </c>
      <c r="F22" s="11" t="s">
        <v>11</v>
      </c>
      <c r="G22" s="12">
        <v>45176</v>
      </c>
      <c r="H22" s="12">
        <f>Таблица1[[#This Row],[дата св-ва о поверке]]+(Таблица1[[#This Row],[МПИ]]*365) -1</f>
        <v>45540</v>
      </c>
      <c r="I22" s="15">
        <f t="shared" ca="1" si="0"/>
        <v>-397</v>
      </c>
      <c r="J22" s="13"/>
      <c r="K22" s="13"/>
      <c r="L22" s="34" t="s">
        <v>306</v>
      </c>
      <c r="M22" s="13"/>
      <c r="N22" s="40"/>
    </row>
    <row r="23" spans="1:14" x14ac:dyDescent="0.25">
      <c r="A23" s="13">
        <v>21</v>
      </c>
      <c r="B23" s="20" t="s">
        <v>73</v>
      </c>
      <c r="C23" s="13" t="s">
        <v>72</v>
      </c>
      <c r="D23" s="11" t="s">
        <v>74</v>
      </c>
      <c r="E23" s="33" t="s">
        <v>312</v>
      </c>
      <c r="F23" s="11">
        <v>1</v>
      </c>
      <c r="G23" s="12">
        <v>45159</v>
      </c>
      <c r="H23" s="12">
        <f>Таблица1[[#This Row],[дата св-ва о поверке]]+(Таблица1[[#This Row],[МПИ]]*365) -1</f>
        <v>45523</v>
      </c>
      <c r="I23" s="15">
        <f t="shared" ca="1" si="0"/>
        <v>-414</v>
      </c>
      <c r="J23" s="13"/>
      <c r="K23" s="13"/>
      <c r="L23" s="34" t="s">
        <v>71</v>
      </c>
      <c r="M23" s="13"/>
      <c r="N23" s="40"/>
    </row>
    <row r="24" spans="1:14" x14ac:dyDescent="0.25">
      <c r="A24" s="13">
        <v>22</v>
      </c>
      <c r="B24" s="20" t="s">
        <v>73</v>
      </c>
      <c r="C24" s="13" t="s">
        <v>102</v>
      </c>
      <c r="D24" s="11" t="s">
        <v>103</v>
      </c>
      <c r="E24" s="33" t="s">
        <v>313</v>
      </c>
      <c r="F24" s="11">
        <v>1</v>
      </c>
      <c r="G24" s="12">
        <v>45100</v>
      </c>
      <c r="H24" s="12">
        <f>Таблица1[[#This Row],[дата св-ва о поверке]]+(Таблица1[[#This Row],[МПИ]]*365) -1</f>
        <v>45464</v>
      </c>
      <c r="I24" s="15">
        <f t="shared" ca="1" si="0"/>
        <v>-473</v>
      </c>
      <c r="J24" s="13" t="s">
        <v>348</v>
      </c>
      <c r="K24" s="13"/>
      <c r="L24" s="34" t="s">
        <v>101</v>
      </c>
      <c r="M24" s="13"/>
      <c r="N24" s="40">
        <v>24365</v>
      </c>
    </row>
    <row r="25" spans="1:14" x14ac:dyDescent="0.25">
      <c r="A25" s="13">
        <v>23</v>
      </c>
      <c r="B25" s="19" t="s">
        <v>395</v>
      </c>
      <c r="C25" s="13" t="s">
        <v>605</v>
      </c>
      <c r="D25" s="13" t="s">
        <v>396</v>
      </c>
      <c r="E25" s="33" t="s">
        <v>620</v>
      </c>
      <c r="F25" s="11" t="s">
        <v>11</v>
      </c>
      <c r="G25" s="12">
        <v>43425</v>
      </c>
      <c r="H25" s="12">
        <f>Таблица1[[#This Row],[дата св-ва о поверке]]+(Таблица1[[#This Row],[МПИ]]*365) -1</f>
        <v>43789</v>
      </c>
      <c r="I25" s="15">
        <f t="shared" ca="1" si="0"/>
        <v>-2148</v>
      </c>
      <c r="J25" s="13"/>
      <c r="K25" s="13"/>
      <c r="L25" s="34" t="s">
        <v>619</v>
      </c>
      <c r="M25" s="13"/>
      <c r="N25" s="40"/>
    </row>
    <row r="26" spans="1:14" x14ac:dyDescent="0.25">
      <c r="A26" s="13">
        <v>24</v>
      </c>
      <c r="B26" s="19" t="s">
        <v>395</v>
      </c>
      <c r="C26" s="13" t="s">
        <v>606</v>
      </c>
      <c r="D26" s="13" t="s">
        <v>397</v>
      </c>
      <c r="E26" s="43" t="s">
        <v>621</v>
      </c>
      <c r="F26" s="44" t="s">
        <v>11</v>
      </c>
      <c r="G26" s="45">
        <v>43425</v>
      </c>
      <c r="H26" s="12">
        <f>Таблица1[[#This Row],[дата св-ва о поверке]]+(Таблица1[[#This Row],[МПИ]]*365) -1</f>
        <v>43789</v>
      </c>
      <c r="I26" s="15">
        <f t="shared" ca="1" si="0"/>
        <v>-2148</v>
      </c>
      <c r="J26" s="46"/>
      <c r="K26" s="46"/>
      <c r="L26" s="34" t="s">
        <v>619</v>
      </c>
      <c r="M26" s="46"/>
      <c r="N26" s="41"/>
    </row>
    <row r="27" spans="1:14" x14ac:dyDescent="0.25">
      <c r="A27" s="13">
        <v>25</v>
      </c>
      <c r="B27" s="20" t="s">
        <v>166</v>
      </c>
      <c r="C27" s="13" t="s">
        <v>222</v>
      </c>
      <c r="D27" s="11" t="s">
        <v>223</v>
      </c>
      <c r="E27" s="33"/>
      <c r="F27" s="11" t="s">
        <v>11</v>
      </c>
      <c r="G27" s="12">
        <v>42415</v>
      </c>
      <c r="H27" s="12">
        <f>Таблица1[[#This Row],[дата св-ва о поверке]]+(Таблица1[[#This Row],[МПИ]]*365) -1</f>
        <v>42779</v>
      </c>
      <c r="I27" s="15">
        <f t="shared" ca="1" si="0"/>
        <v>-3158</v>
      </c>
      <c r="J27" s="13"/>
      <c r="K27" s="13"/>
      <c r="L27" s="34" t="s">
        <v>221</v>
      </c>
      <c r="M27" s="13"/>
      <c r="N27" s="40">
        <v>10350</v>
      </c>
    </row>
    <row r="28" spans="1:14" x14ac:dyDescent="0.25">
      <c r="A28" s="13">
        <v>26</v>
      </c>
      <c r="B28" s="20" t="s">
        <v>135</v>
      </c>
      <c r="C28" s="13" t="s">
        <v>133</v>
      </c>
      <c r="D28" s="11" t="s">
        <v>134</v>
      </c>
      <c r="E28" s="33"/>
      <c r="F28" s="11">
        <v>1</v>
      </c>
      <c r="G28" s="12">
        <v>41732</v>
      </c>
      <c r="H28" s="12">
        <f>Таблица1[[#This Row],[дата св-ва о поверке]]+(Таблица1[[#This Row],[МПИ]]*365) -1</f>
        <v>42096</v>
      </c>
      <c r="I28" s="15">
        <f t="shared" ca="1" si="0"/>
        <v>-3841</v>
      </c>
      <c r="J28" s="13"/>
      <c r="K28" s="13"/>
      <c r="L28" s="34" t="s">
        <v>136</v>
      </c>
      <c r="M28" s="13"/>
      <c r="N28" s="40">
        <v>7000</v>
      </c>
    </row>
    <row r="29" spans="1:14" x14ac:dyDescent="0.25">
      <c r="A29" s="13">
        <v>27</v>
      </c>
      <c r="B29" s="20" t="s">
        <v>26</v>
      </c>
      <c r="C29" s="13" t="s">
        <v>25</v>
      </c>
      <c r="D29" s="11" t="s">
        <v>220</v>
      </c>
      <c r="E29" s="33"/>
      <c r="F29" s="11">
        <v>2</v>
      </c>
      <c r="G29" s="12"/>
      <c r="H29" s="12">
        <f>Таблица1[[#This Row],[дата св-ва о поверке]]+(Таблица1[[#This Row],[МПИ]]*365) -1</f>
        <v>729</v>
      </c>
      <c r="I29" s="15">
        <f t="shared" ca="1" si="0"/>
        <v>-45208</v>
      </c>
      <c r="J29" s="13" t="s">
        <v>350</v>
      </c>
      <c r="K29" s="13"/>
      <c r="L29" s="34" t="s">
        <v>219</v>
      </c>
      <c r="M29" s="13"/>
      <c r="N29" s="40">
        <v>5200</v>
      </c>
    </row>
    <row r="30" spans="1:14" x14ac:dyDescent="0.25">
      <c r="A30" s="13">
        <v>28</v>
      </c>
      <c r="B30" s="20" t="s">
        <v>26</v>
      </c>
      <c r="C30" s="13" t="s">
        <v>25</v>
      </c>
      <c r="D30" s="11" t="s">
        <v>231</v>
      </c>
      <c r="E30" s="33"/>
      <c r="F30" s="11">
        <v>2</v>
      </c>
      <c r="G30" s="12"/>
      <c r="H30" s="12">
        <f>Таблица1[[#This Row],[дата св-ва о поверке]]+(Таблица1[[#This Row],[МПИ]]*365) -1</f>
        <v>729</v>
      </c>
      <c r="I30" s="15">
        <f t="shared" ca="1" si="0"/>
        <v>-45208</v>
      </c>
      <c r="J30" s="13" t="s">
        <v>41</v>
      </c>
      <c r="K30" s="13"/>
      <c r="L30" s="34" t="s">
        <v>219</v>
      </c>
      <c r="M30" s="13"/>
      <c r="N30" s="40">
        <v>5200</v>
      </c>
    </row>
    <row r="31" spans="1:14" x14ac:dyDescent="0.25">
      <c r="A31" s="13">
        <v>29</v>
      </c>
      <c r="B31" s="20" t="s">
        <v>26</v>
      </c>
      <c r="C31" s="13" t="s">
        <v>25</v>
      </c>
      <c r="D31" s="11" t="s">
        <v>16</v>
      </c>
      <c r="E31" s="33"/>
      <c r="F31" s="11">
        <v>2</v>
      </c>
      <c r="G31" s="12"/>
      <c r="H31" s="12">
        <f>Таблица1[[#This Row],[дата св-ва о поверке]]+(Таблица1[[#This Row],[МПИ]]*365) -1</f>
        <v>729</v>
      </c>
      <c r="I31" s="15">
        <f t="shared" ca="1" si="0"/>
        <v>-45208</v>
      </c>
      <c r="J31" s="13" t="s">
        <v>18</v>
      </c>
      <c r="K31" s="13"/>
      <c r="L31" s="34" t="s">
        <v>19</v>
      </c>
      <c r="M31" s="13" t="s">
        <v>20</v>
      </c>
      <c r="N31" s="40">
        <v>5200</v>
      </c>
    </row>
    <row r="32" spans="1:14" ht="31.5" x14ac:dyDescent="0.25">
      <c r="A32" s="13">
        <v>30</v>
      </c>
      <c r="B32" s="20" t="s">
        <v>26</v>
      </c>
      <c r="C32" s="13" t="s">
        <v>511</v>
      </c>
      <c r="D32" s="11" t="s">
        <v>512</v>
      </c>
      <c r="E32" s="33"/>
      <c r="F32" s="11" t="s">
        <v>17</v>
      </c>
      <c r="G32" s="12"/>
      <c r="H32" s="12">
        <f>Таблица1[[#This Row],[дата св-ва о поверке]]+(Таблица1[[#This Row],[МПИ]]*365) -1</f>
        <v>729</v>
      </c>
      <c r="I32" s="15">
        <f t="shared" ca="1" si="0"/>
        <v>-45208</v>
      </c>
      <c r="J32" s="13"/>
      <c r="K32" s="13"/>
      <c r="L32" s="34" t="s">
        <v>19</v>
      </c>
      <c r="M32" s="13" t="s">
        <v>554</v>
      </c>
      <c r="N32" s="40">
        <v>5200</v>
      </c>
    </row>
    <row r="33" spans="1:14" ht="31.5" x14ac:dyDescent="0.25">
      <c r="A33" s="13">
        <v>31</v>
      </c>
      <c r="B33" s="20" t="s">
        <v>515</v>
      </c>
      <c r="C33" s="13" t="s">
        <v>516</v>
      </c>
      <c r="D33" s="11" t="s">
        <v>517</v>
      </c>
      <c r="E33" s="33"/>
      <c r="F33" s="11" t="s">
        <v>17</v>
      </c>
      <c r="G33" s="12"/>
      <c r="H33" s="12">
        <f>Таблица1[[#This Row],[дата св-ва о поверке]]+(Таблица1[[#This Row],[МПИ]]*365) -1</f>
        <v>729</v>
      </c>
      <c r="I33" s="15">
        <f t="shared" ca="1" si="0"/>
        <v>-45208</v>
      </c>
      <c r="J33" s="13"/>
      <c r="K33" s="13"/>
      <c r="L33" s="34" t="s">
        <v>557</v>
      </c>
      <c r="M33" s="13" t="s">
        <v>554</v>
      </c>
      <c r="N33" s="40">
        <v>5200</v>
      </c>
    </row>
    <row r="34" spans="1:14" ht="31.5" x14ac:dyDescent="0.25">
      <c r="A34" s="13">
        <v>32</v>
      </c>
      <c r="B34" s="20" t="s">
        <v>505</v>
      </c>
      <c r="C34" s="13" t="s">
        <v>506</v>
      </c>
      <c r="D34" s="11" t="s">
        <v>507</v>
      </c>
      <c r="E34" s="33"/>
      <c r="F34" s="11" t="s">
        <v>17</v>
      </c>
      <c r="G34" s="12"/>
      <c r="H34" s="12">
        <f>Таблица1[[#This Row],[дата св-ва о поверке]]+(Таблица1[[#This Row],[МПИ]]*365) -1</f>
        <v>729</v>
      </c>
      <c r="I34" s="15">
        <f t="shared" ca="1" si="0"/>
        <v>-45208</v>
      </c>
      <c r="J34" s="13"/>
      <c r="K34" s="13"/>
      <c r="L34" s="34" t="s">
        <v>550</v>
      </c>
      <c r="M34" s="13" t="s">
        <v>551</v>
      </c>
      <c r="N34" s="40"/>
    </row>
    <row r="35" spans="1:14" ht="31.5" x14ac:dyDescent="0.25">
      <c r="A35" s="13">
        <v>33</v>
      </c>
      <c r="B35" s="20" t="s">
        <v>498</v>
      </c>
      <c r="C35" s="13" t="s">
        <v>499</v>
      </c>
      <c r="D35" s="11" t="s">
        <v>500</v>
      </c>
      <c r="E35" s="33"/>
      <c r="F35" s="11" t="s">
        <v>17</v>
      </c>
      <c r="G35" s="12"/>
      <c r="H35" s="12">
        <f>Таблица1[[#This Row],[дата св-ва о поверке]]+(Таблица1[[#This Row],[МПИ]]*365) -1</f>
        <v>729</v>
      </c>
      <c r="I35" s="15">
        <f t="shared" ref="I35:I66" ca="1" si="1">H35-data</f>
        <v>-45208</v>
      </c>
      <c r="J35" s="13"/>
      <c r="K35" s="13"/>
      <c r="L35" s="34" t="s">
        <v>546</v>
      </c>
      <c r="M35" s="13" t="s">
        <v>547</v>
      </c>
      <c r="N35" s="40"/>
    </row>
    <row r="36" spans="1:14" x14ac:dyDescent="0.25">
      <c r="A36" s="13">
        <v>34</v>
      </c>
      <c r="B36" s="20" t="s">
        <v>269</v>
      </c>
      <c r="C36" s="13" t="s">
        <v>268</v>
      </c>
      <c r="D36" s="11" t="s">
        <v>271</v>
      </c>
      <c r="E36" s="33"/>
      <c r="F36" s="11" t="s">
        <v>11</v>
      </c>
      <c r="G36" s="12"/>
      <c r="H36" s="12">
        <f>Таблица1[[#This Row],[дата св-ва о поверке]]+(Таблица1[[#This Row],[МПИ]]*365) -1</f>
        <v>364</v>
      </c>
      <c r="I36" s="15">
        <f t="shared" ca="1" si="1"/>
        <v>-45573</v>
      </c>
      <c r="J36" s="13" t="s">
        <v>356</v>
      </c>
      <c r="K36" s="13"/>
      <c r="L36" s="34" t="s">
        <v>270</v>
      </c>
      <c r="M36" s="13" t="s">
        <v>357</v>
      </c>
      <c r="N36" s="40">
        <v>4750</v>
      </c>
    </row>
    <row r="37" spans="1:14" x14ac:dyDescent="0.25">
      <c r="A37" s="13">
        <v>35</v>
      </c>
      <c r="B37" s="20" t="s">
        <v>211</v>
      </c>
      <c r="C37" s="13" t="s">
        <v>261</v>
      </c>
      <c r="D37" s="11" t="s">
        <v>262</v>
      </c>
      <c r="E37" s="33"/>
      <c r="F37" s="11" t="s">
        <v>11</v>
      </c>
      <c r="G37" s="12"/>
      <c r="H37" s="12">
        <f>Таблица1[[#This Row],[дата св-ва о поверке]]+(Таблица1[[#This Row],[МПИ]]*365) -1</f>
        <v>364</v>
      </c>
      <c r="I37" s="15">
        <f t="shared" ca="1" si="1"/>
        <v>-45573</v>
      </c>
      <c r="J37" s="13">
        <v>27</v>
      </c>
      <c r="K37" s="13"/>
      <c r="L37" s="34" t="s">
        <v>263</v>
      </c>
      <c r="M37" s="13"/>
      <c r="N37" s="40">
        <v>24365</v>
      </c>
    </row>
    <row r="38" spans="1:14" x14ac:dyDescent="0.25">
      <c r="A38" s="13">
        <v>36</v>
      </c>
      <c r="B38" s="20" t="s">
        <v>118</v>
      </c>
      <c r="C38" s="13" t="s">
        <v>119</v>
      </c>
      <c r="D38" s="11" t="s">
        <v>298</v>
      </c>
      <c r="E38" s="33"/>
      <c r="F38" s="11">
        <v>1</v>
      </c>
      <c r="G38" s="12"/>
      <c r="H38" s="12">
        <f>Таблица1[[#This Row],[дата св-ва о поверке]]+(Таблица1[[#This Row],[МПИ]]*365) -1</f>
        <v>364</v>
      </c>
      <c r="I38" s="15">
        <f t="shared" ca="1" si="1"/>
        <v>-45573</v>
      </c>
      <c r="J38" s="13"/>
      <c r="K38" s="13"/>
      <c r="L38" s="34" t="s">
        <v>120</v>
      </c>
      <c r="M38" s="13"/>
      <c r="N38" s="40">
        <v>12000</v>
      </c>
    </row>
    <row r="39" spans="1:14" x14ac:dyDescent="0.25">
      <c r="A39" s="13">
        <v>37</v>
      </c>
      <c r="B39" s="20" t="s">
        <v>256</v>
      </c>
      <c r="C39" s="13" t="s">
        <v>257</v>
      </c>
      <c r="D39" s="11" t="s">
        <v>258</v>
      </c>
      <c r="E39" s="33"/>
      <c r="F39" s="11" t="s">
        <v>11</v>
      </c>
      <c r="G39" s="12"/>
      <c r="H39" s="12">
        <f>Таблица1[[#This Row],[дата св-ва о поверке]]+(Таблица1[[#This Row],[МПИ]]*365) -1</f>
        <v>364</v>
      </c>
      <c r="I39" s="15">
        <f t="shared" ca="1" si="1"/>
        <v>-45573</v>
      </c>
      <c r="J39" s="13"/>
      <c r="K39" s="13"/>
      <c r="L39" s="34" t="s">
        <v>255</v>
      </c>
      <c r="M39" s="13"/>
      <c r="N39" s="40"/>
    </row>
    <row r="40" spans="1:14" x14ac:dyDescent="0.25">
      <c r="A40" s="13">
        <v>38</v>
      </c>
      <c r="B40" s="20" t="s">
        <v>109</v>
      </c>
      <c r="C40" s="13" t="s">
        <v>110</v>
      </c>
      <c r="D40" s="11" t="s">
        <v>111</v>
      </c>
      <c r="E40" s="33"/>
      <c r="F40" s="11">
        <v>1</v>
      </c>
      <c r="G40" s="12"/>
      <c r="H40" s="12">
        <f>Таблица1[[#This Row],[дата св-ва о поверке]]+(Таблица1[[#This Row],[МПИ]]*365) -1</f>
        <v>364</v>
      </c>
      <c r="I40" s="15">
        <f t="shared" ca="1" si="1"/>
        <v>-45573</v>
      </c>
      <c r="J40" s="13" t="s">
        <v>112</v>
      </c>
      <c r="K40" s="13"/>
      <c r="L40" s="34" t="s">
        <v>108</v>
      </c>
      <c r="M40" s="13" t="s">
        <v>113</v>
      </c>
      <c r="N40" s="40"/>
    </row>
    <row r="41" spans="1:14" x14ac:dyDescent="0.25">
      <c r="A41" s="13">
        <v>39</v>
      </c>
      <c r="B41" s="20" t="s">
        <v>67</v>
      </c>
      <c r="C41" s="13" t="s">
        <v>61</v>
      </c>
      <c r="D41" s="11" t="s">
        <v>68</v>
      </c>
      <c r="E41" s="33"/>
      <c r="F41" s="11">
        <v>1</v>
      </c>
      <c r="G41" s="12"/>
      <c r="H41" s="12">
        <f>Таблица1[[#This Row],[дата св-ва о поверке]]+(Таблица1[[#This Row],[МПИ]]*365) -1</f>
        <v>364</v>
      </c>
      <c r="I41" s="15">
        <f t="shared" ca="1" si="1"/>
        <v>-45573</v>
      </c>
      <c r="J41" s="13">
        <v>10</v>
      </c>
      <c r="K41" s="13"/>
      <c r="L41" s="34" t="s">
        <v>66</v>
      </c>
      <c r="M41" s="13"/>
      <c r="N41" s="40">
        <v>2500</v>
      </c>
    </row>
    <row r="42" spans="1:14" ht="31.5" x14ac:dyDescent="0.25">
      <c r="A42" s="13">
        <v>40</v>
      </c>
      <c r="B42" s="20" t="s">
        <v>166</v>
      </c>
      <c r="C42" s="13" t="s">
        <v>225</v>
      </c>
      <c r="D42" s="11" t="s">
        <v>226</v>
      </c>
      <c r="E42" s="33"/>
      <c r="F42" s="11" t="s">
        <v>11</v>
      </c>
      <c r="G42" s="12"/>
      <c r="H42" s="12">
        <f>Таблица1[[#This Row],[дата св-ва о поверке]]+(Таблица1[[#This Row],[МПИ]]*365) -1</f>
        <v>364</v>
      </c>
      <c r="I42" s="15">
        <f t="shared" ca="1" si="1"/>
        <v>-45573</v>
      </c>
      <c r="J42" s="13" t="s">
        <v>359</v>
      </c>
      <c r="K42" s="13"/>
      <c r="L42" s="34" t="s">
        <v>224</v>
      </c>
      <c r="M42" s="13"/>
      <c r="N42" s="40">
        <v>10350</v>
      </c>
    </row>
    <row r="43" spans="1:14" x14ac:dyDescent="0.25">
      <c r="A43" s="13">
        <v>41</v>
      </c>
      <c r="B43" s="20" t="s">
        <v>166</v>
      </c>
      <c r="C43" s="13" t="s">
        <v>225</v>
      </c>
      <c r="D43" s="11" t="s">
        <v>490</v>
      </c>
      <c r="E43" s="33"/>
      <c r="F43" s="11" t="s">
        <v>11</v>
      </c>
      <c r="G43" s="12"/>
      <c r="H43" s="12">
        <f>Таблица1[[#This Row],[дата св-ва о поверке]]+(Таблица1[[#This Row],[МПИ]]*365) -1</f>
        <v>364</v>
      </c>
      <c r="I43" s="15">
        <f t="shared" ca="1" si="1"/>
        <v>-45573</v>
      </c>
      <c r="J43" s="13"/>
      <c r="K43" s="13"/>
      <c r="L43" s="34" t="s">
        <v>224</v>
      </c>
      <c r="M43" s="13"/>
      <c r="N43" s="40">
        <v>10350</v>
      </c>
    </row>
    <row r="44" spans="1:14" x14ac:dyDescent="0.25">
      <c r="A44" s="13">
        <v>42</v>
      </c>
      <c r="B44" s="20" t="s">
        <v>166</v>
      </c>
      <c r="C44" s="13" t="s">
        <v>164</v>
      </c>
      <c r="D44" s="11" t="s">
        <v>168</v>
      </c>
      <c r="E44" s="33"/>
      <c r="F44" s="11">
        <v>1</v>
      </c>
      <c r="G44" s="12"/>
      <c r="H44" s="12">
        <f>Таблица1[[#This Row],[дата св-ва о поверке]]+(Таблица1[[#This Row],[МПИ]]*365) -1</f>
        <v>364</v>
      </c>
      <c r="I44" s="15">
        <f t="shared" ca="1" si="1"/>
        <v>-45573</v>
      </c>
      <c r="J44" s="13" t="s">
        <v>339</v>
      </c>
      <c r="K44" s="13"/>
      <c r="L44" s="34" t="s">
        <v>165</v>
      </c>
      <c r="M44" s="13"/>
      <c r="N44" s="40">
        <v>18800</v>
      </c>
    </row>
    <row r="45" spans="1:14" x14ac:dyDescent="0.25">
      <c r="A45" s="13">
        <v>43</v>
      </c>
      <c r="B45" s="20" t="s">
        <v>166</v>
      </c>
      <c r="C45" s="13" t="s">
        <v>208</v>
      </c>
      <c r="D45" s="11" t="s">
        <v>209</v>
      </c>
      <c r="E45" s="33"/>
      <c r="F45" s="11">
        <v>1</v>
      </c>
      <c r="G45" s="12"/>
      <c r="H45" s="12">
        <f>Таблица1[[#This Row],[дата св-ва о поверке]]+(Таблица1[[#This Row],[МПИ]]*365) -1</f>
        <v>364</v>
      </c>
      <c r="I45" s="15">
        <f t="shared" ca="1" si="1"/>
        <v>-45573</v>
      </c>
      <c r="J45" s="13" t="s">
        <v>112</v>
      </c>
      <c r="K45" s="13"/>
      <c r="L45" s="34" t="s">
        <v>207</v>
      </c>
      <c r="M45" s="13" t="s">
        <v>113</v>
      </c>
      <c r="N45" s="40">
        <v>13800</v>
      </c>
    </row>
    <row r="46" spans="1:14" x14ac:dyDescent="0.25">
      <c r="A46" s="13">
        <v>44</v>
      </c>
      <c r="B46" s="20" t="s">
        <v>43</v>
      </c>
      <c r="C46" s="13" t="s">
        <v>44</v>
      </c>
      <c r="D46" s="11" t="s">
        <v>45</v>
      </c>
      <c r="E46" s="33"/>
      <c r="F46" s="11">
        <v>1</v>
      </c>
      <c r="G46" s="12"/>
      <c r="H46" s="12">
        <f>Таблица1[[#This Row],[дата св-ва о поверке]]+(Таблица1[[#This Row],[МПИ]]*365) -1</f>
        <v>364</v>
      </c>
      <c r="I46" s="15">
        <f t="shared" ca="1" si="1"/>
        <v>-45573</v>
      </c>
      <c r="J46" s="13" t="s">
        <v>352</v>
      </c>
      <c r="K46" s="13"/>
      <c r="L46" s="34" t="s">
        <v>42</v>
      </c>
      <c r="M46" s="13"/>
      <c r="N46" s="40">
        <v>7000</v>
      </c>
    </row>
    <row r="47" spans="1:14" x14ac:dyDescent="0.25">
      <c r="A47" s="13">
        <v>45</v>
      </c>
      <c r="B47" s="20" t="s">
        <v>43</v>
      </c>
      <c r="C47" s="13" t="s">
        <v>44</v>
      </c>
      <c r="D47" s="11" t="s">
        <v>128</v>
      </c>
      <c r="E47" s="33"/>
      <c r="F47" s="11">
        <v>1</v>
      </c>
      <c r="G47" s="12"/>
      <c r="H47" s="12">
        <f>Таблица1[[#This Row],[дата св-ва о поверке]]+(Таблица1[[#This Row],[МПИ]]*365) -1</f>
        <v>364</v>
      </c>
      <c r="I47" s="15">
        <f t="shared" ca="1" si="1"/>
        <v>-45573</v>
      </c>
      <c r="J47" s="13" t="s">
        <v>353</v>
      </c>
      <c r="K47" s="13"/>
      <c r="L47" s="34" t="s">
        <v>42</v>
      </c>
      <c r="M47" s="13"/>
      <c r="N47" s="40">
        <v>7000</v>
      </c>
    </row>
    <row r="48" spans="1:14" x14ac:dyDescent="0.25">
      <c r="A48" s="13">
        <v>46</v>
      </c>
      <c r="B48" s="20" t="s">
        <v>76</v>
      </c>
      <c r="C48" s="13" t="s">
        <v>75</v>
      </c>
      <c r="D48" s="11" t="s">
        <v>77</v>
      </c>
      <c r="E48" s="33"/>
      <c r="F48" s="11">
        <v>1</v>
      </c>
      <c r="G48" s="12"/>
      <c r="H48" s="12">
        <f>Таблица1[[#This Row],[дата св-ва о поверке]]+(Таблица1[[#This Row],[МПИ]]*365) -1</f>
        <v>364</v>
      </c>
      <c r="I48" s="15">
        <f t="shared" ca="1" si="1"/>
        <v>-45573</v>
      </c>
      <c r="J48" s="13"/>
      <c r="K48" s="13"/>
      <c r="L48" s="34" t="s">
        <v>78</v>
      </c>
      <c r="M48" s="13"/>
      <c r="N48" s="40"/>
    </row>
    <row r="49" spans="1:14" x14ac:dyDescent="0.25">
      <c r="A49" s="13">
        <v>47</v>
      </c>
      <c r="B49" s="20" t="s">
        <v>122</v>
      </c>
      <c r="C49" s="13" t="s">
        <v>121</v>
      </c>
      <c r="D49" s="11" t="s">
        <v>123</v>
      </c>
      <c r="E49" s="33"/>
      <c r="F49" s="11">
        <v>1</v>
      </c>
      <c r="G49" s="12"/>
      <c r="H49" s="12">
        <f>Таблица1[[#This Row],[дата св-ва о поверке]]+(Таблица1[[#This Row],[МПИ]]*365) -1</f>
        <v>364</v>
      </c>
      <c r="I49" s="15">
        <f t="shared" ca="1" si="1"/>
        <v>-45573</v>
      </c>
      <c r="J49" s="13" t="s">
        <v>112</v>
      </c>
      <c r="K49" s="13"/>
      <c r="L49" s="34" t="s">
        <v>4</v>
      </c>
      <c r="M49" s="13"/>
      <c r="N49" s="40">
        <v>14000</v>
      </c>
    </row>
    <row r="50" spans="1:14" x14ac:dyDescent="0.25">
      <c r="A50" s="13">
        <v>48</v>
      </c>
      <c r="B50" s="20" t="s">
        <v>598</v>
      </c>
      <c r="C50" s="13" t="s">
        <v>199</v>
      </c>
      <c r="D50" s="11" t="s">
        <v>200</v>
      </c>
      <c r="E50" s="33"/>
      <c r="F50" s="11">
        <v>1</v>
      </c>
      <c r="G50" s="12"/>
      <c r="H50" s="12">
        <f>Таблица1[[#This Row],[дата св-ва о поверке]]+(Таблица1[[#This Row],[МПИ]]*365) -1</f>
        <v>364</v>
      </c>
      <c r="I50" s="15">
        <f t="shared" ca="1" si="1"/>
        <v>-45573</v>
      </c>
      <c r="J50" s="13"/>
      <c r="K50" s="13"/>
      <c r="L50" s="34" t="s">
        <v>198</v>
      </c>
      <c r="M50" s="13"/>
      <c r="N50" s="40"/>
    </row>
    <row r="51" spans="1:14" x14ac:dyDescent="0.25">
      <c r="A51" s="13">
        <v>49</v>
      </c>
      <c r="B51" s="20" t="s">
        <v>26</v>
      </c>
      <c r="C51" s="13" t="s">
        <v>513</v>
      </c>
      <c r="D51" s="11" t="s">
        <v>514</v>
      </c>
      <c r="E51" s="33"/>
      <c r="F51" s="11" t="s">
        <v>11</v>
      </c>
      <c r="G51" s="12"/>
      <c r="H51" s="12">
        <f>Таблица1[[#This Row],[дата св-ва о поверке]]+(Таблица1[[#This Row],[МПИ]]*365) -1</f>
        <v>364</v>
      </c>
      <c r="I51" s="15">
        <f t="shared" ca="1" si="1"/>
        <v>-45573</v>
      </c>
      <c r="J51" s="13"/>
      <c r="K51" s="13"/>
      <c r="L51" s="34" t="s">
        <v>555</v>
      </c>
      <c r="M51" s="13" t="s">
        <v>556</v>
      </c>
      <c r="N51" s="40">
        <v>5200</v>
      </c>
    </row>
    <row r="52" spans="1:14" x14ac:dyDescent="0.25">
      <c r="A52" s="13">
        <v>50</v>
      </c>
      <c r="B52" s="20" t="s">
        <v>92</v>
      </c>
      <c r="C52" s="13" t="s">
        <v>93</v>
      </c>
      <c r="D52" s="11" t="s">
        <v>94</v>
      </c>
      <c r="E52" s="33"/>
      <c r="F52" s="11">
        <v>1</v>
      </c>
      <c r="G52" s="12"/>
      <c r="H52" s="12">
        <f>Таблица1[[#This Row],[дата св-ва о поверке]]+(Таблица1[[#This Row],[МПИ]]*365) -1</f>
        <v>364</v>
      </c>
      <c r="I52" s="15">
        <f t="shared" ca="1" si="1"/>
        <v>-45573</v>
      </c>
      <c r="J52" s="13"/>
      <c r="K52" s="13"/>
      <c r="L52" s="34" t="s">
        <v>95</v>
      </c>
      <c r="M52" s="13"/>
      <c r="N52" s="40">
        <v>5200</v>
      </c>
    </row>
    <row r="53" spans="1:14" x14ac:dyDescent="0.25">
      <c r="A53" s="13">
        <v>51</v>
      </c>
      <c r="B53" s="20" t="s">
        <v>515</v>
      </c>
      <c r="C53" s="13" t="s">
        <v>58</v>
      </c>
      <c r="D53" s="11" t="s">
        <v>59</v>
      </c>
      <c r="E53" s="33"/>
      <c r="F53" s="11">
        <v>1</v>
      </c>
      <c r="G53" s="12"/>
      <c r="H53" s="12">
        <f>Таблица1[[#This Row],[дата св-ва о поверке]]+(Таблица1[[#This Row],[МПИ]]*365) -1</f>
        <v>364</v>
      </c>
      <c r="I53" s="15">
        <f t="shared" ca="1" si="1"/>
        <v>-45573</v>
      </c>
      <c r="J53" s="13" t="s">
        <v>38</v>
      </c>
      <c r="K53" s="13"/>
      <c r="L53" s="34" t="s">
        <v>60</v>
      </c>
      <c r="M53" s="13" t="s">
        <v>21</v>
      </c>
      <c r="N53" s="40">
        <v>5200</v>
      </c>
    </row>
    <row r="54" spans="1:14" x14ac:dyDescent="0.25">
      <c r="A54" s="13">
        <v>52</v>
      </c>
      <c r="B54" s="20" t="s">
        <v>515</v>
      </c>
      <c r="C54" s="13" t="s">
        <v>58</v>
      </c>
      <c r="D54" s="11" t="s">
        <v>79</v>
      </c>
      <c r="E54" s="33"/>
      <c r="F54" s="11">
        <v>1</v>
      </c>
      <c r="G54" s="12"/>
      <c r="H54" s="12">
        <f>Таблица1[[#This Row],[дата св-ва о поверке]]+(Таблица1[[#This Row],[МПИ]]*365) -1</f>
        <v>364</v>
      </c>
      <c r="I54" s="15">
        <f t="shared" ca="1" si="1"/>
        <v>-45573</v>
      </c>
      <c r="J54" s="13"/>
      <c r="K54" s="13"/>
      <c r="L54" s="34" t="s">
        <v>60</v>
      </c>
      <c r="M54" s="13"/>
      <c r="N54" s="40">
        <v>5200</v>
      </c>
    </row>
    <row r="55" spans="1:14" x14ac:dyDescent="0.25">
      <c r="A55" s="13">
        <v>53</v>
      </c>
      <c r="B55" s="20" t="s">
        <v>515</v>
      </c>
      <c r="C55" s="13" t="s">
        <v>58</v>
      </c>
      <c r="D55" s="11" t="s">
        <v>227</v>
      </c>
      <c r="E55" s="33"/>
      <c r="F55" s="11">
        <v>1</v>
      </c>
      <c r="G55" s="12"/>
      <c r="H55" s="12">
        <f>Таблица1[[#This Row],[дата св-ва о поверке]]+(Таблица1[[#This Row],[МПИ]]*365) -1</f>
        <v>364</v>
      </c>
      <c r="I55" s="15">
        <f t="shared" ca="1" si="1"/>
        <v>-45573</v>
      </c>
      <c r="J55" s="13"/>
      <c r="K55" s="13"/>
      <c r="L55" s="34" t="s">
        <v>60</v>
      </c>
      <c r="M55" s="13"/>
      <c r="N55" s="40">
        <v>5200</v>
      </c>
    </row>
    <row r="56" spans="1:14" x14ac:dyDescent="0.25">
      <c r="A56" s="13">
        <v>54</v>
      </c>
      <c r="B56" s="20" t="s">
        <v>515</v>
      </c>
      <c r="C56" s="13" t="s">
        <v>58</v>
      </c>
      <c r="D56" s="11" t="s">
        <v>260</v>
      </c>
      <c r="E56" s="33"/>
      <c r="F56" s="11">
        <v>1</v>
      </c>
      <c r="G56" s="12"/>
      <c r="H56" s="12">
        <f>Таблица1[[#This Row],[дата св-ва о поверке]]+(Таблица1[[#This Row],[МПИ]]*365) -1</f>
        <v>364</v>
      </c>
      <c r="I56" s="15">
        <f t="shared" ca="1" si="1"/>
        <v>-45573</v>
      </c>
      <c r="J56" s="13" t="s">
        <v>114</v>
      </c>
      <c r="K56" s="13"/>
      <c r="L56" s="34" t="s">
        <v>60</v>
      </c>
      <c r="M56" s="13" t="s">
        <v>22</v>
      </c>
      <c r="N56" s="40">
        <v>5200</v>
      </c>
    </row>
    <row r="57" spans="1:14" x14ac:dyDescent="0.25">
      <c r="A57" s="13">
        <v>55</v>
      </c>
      <c r="B57" s="20" t="s">
        <v>64</v>
      </c>
      <c r="C57" s="13" t="s">
        <v>62</v>
      </c>
      <c r="D57" s="11" t="s">
        <v>65</v>
      </c>
      <c r="E57" s="33"/>
      <c r="F57" s="11">
        <v>1</v>
      </c>
      <c r="G57" s="12"/>
      <c r="H57" s="12">
        <f>Таблица1[[#This Row],[дата св-ва о поверке]]+(Таблица1[[#This Row],[МПИ]]*365) -1</f>
        <v>364</v>
      </c>
      <c r="I57" s="15">
        <f t="shared" ca="1" si="1"/>
        <v>-45573</v>
      </c>
      <c r="J57" s="13" t="s">
        <v>355</v>
      </c>
      <c r="K57" s="13"/>
      <c r="L57" s="34" t="s">
        <v>63</v>
      </c>
      <c r="M57" s="13"/>
      <c r="N57" s="40">
        <v>5200</v>
      </c>
    </row>
    <row r="58" spans="1:14" x14ac:dyDescent="0.25">
      <c r="A58" s="13">
        <v>56</v>
      </c>
      <c r="B58" s="20" t="s">
        <v>64</v>
      </c>
      <c r="C58" s="13" t="s">
        <v>62</v>
      </c>
      <c r="D58" s="11" t="s">
        <v>147</v>
      </c>
      <c r="E58" s="33"/>
      <c r="F58" s="11">
        <v>1</v>
      </c>
      <c r="G58" s="12"/>
      <c r="H58" s="12">
        <f>Таблица1[[#This Row],[дата св-ва о поверке]]+(Таблица1[[#This Row],[МПИ]]*365) -1</f>
        <v>364</v>
      </c>
      <c r="I58" s="15">
        <f t="shared" ca="1" si="1"/>
        <v>-45573</v>
      </c>
      <c r="J58" s="13">
        <v>14</v>
      </c>
      <c r="K58" s="13"/>
      <c r="L58" s="34" t="s">
        <v>63</v>
      </c>
      <c r="M58" s="13"/>
      <c r="N58" s="40">
        <v>5200</v>
      </c>
    </row>
    <row r="59" spans="1:14" x14ac:dyDescent="0.25">
      <c r="A59" s="13">
        <v>57</v>
      </c>
      <c r="B59" s="20" t="s">
        <v>47</v>
      </c>
      <c r="C59" s="13" t="s">
        <v>129</v>
      </c>
      <c r="D59" s="11" t="s">
        <v>130</v>
      </c>
      <c r="E59" s="33"/>
      <c r="F59" s="11">
        <v>1</v>
      </c>
      <c r="G59" s="12"/>
      <c r="H59" s="12">
        <f>Таблица1[[#This Row],[дата св-ва о поверке]]+(Таблица1[[#This Row],[МПИ]]*365) -1</f>
        <v>364</v>
      </c>
      <c r="I59" s="15">
        <f t="shared" ca="1" si="1"/>
        <v>-45573</v>
      </c>
      <c r="J59" s="13" t="s">
        <v>337</v>
      </c>
      <c r="K59" s="13"/>
      <c r="L59" s="34" t="s">
        <v>49</v>
      </c>
      <c r="M59" s="13"/>
      <c r="N59" s="40"/>
    </row>
    <row r="60" spans="1:14" x14ac:dyDescent="0.25">
      <c r="A60" s="13">
        <v>58</v>
      </c>
      <c r="B60" s="20" t="s">
        <v>47</v>
      </c>
      <c r="C60" s="13" t="s">
        <v>96</v>
      </c>
      <c r="D60" s="11" t="s">
        <v>99</v>
      </c>
      <c r="E60" s="33"/>
      <c r="F60" s="11">
        <v>1</v>
      </c>
      <c r="G60" s="12"/>
      <c r="H60" s="12">
        <f>Таблица1[[#This Row],[дата св-ва о поверке]]+(Таблица1[[#This Row],[МПИ]]*365) -1</f>
        <v>364</v>
      </c>
      <c r="I60" s="15">
        <f t="shared" ca="1" si="1"/>
        <v>-45573</v>
      </c>
      <c r="J60" s="13"/>
      <c r="K60" s="13"/>
      <c r="L60" s="34" t="s">
        <v>98</v>
      </c>
      <c r="M60" s="13" t="s">
        <v>361</v>
      </c>
      <c r="N60" s="40"/>
    </row>
    <row r="61" spans="1:14" x14ac:dyDescent="0.25">
      <c r="A61" s="13">
        <v>59</v>
      </c>
      <c r="B61" s="20" t="s">
        <v>47</v>
      </c>
      <c r="C61" s="13" t="s">
        <v>96</v>
      </c>
      <c r="D61" s="11" t="s">
        <v>131</v>
      </c>
      <c r="E61" s="33"/>
      <c r="F61" s="11">
        <v>1</v>
      </c>
      <c r="G61" s="12"/>
      <c r="H61" s="12">
        <f>Таблица1[[#This Row],[дата св-ва о поверке]]+(Таблица1[[#This Row],[МПИ]]*365) -1</f>
        <v>364</v>
      </c>
      <c r="I61" s="15">
        <f t="shared" ca="1" si="1"/>
        <v>-45573</v>
      </c>
      <c r="J61" s="13"/>
      <c r="K61" s="13"/>
      <c r="L61" s="34" t="s">
        <v>98</v>
      </c>
      <c r="M61" s="13"/>
      <c r="N61" s="40"/>
    </row>
    <row r="62" spans="1:14" x14ac:dyDescent="0.25">
      <c r="A62" s="13">
        <v>60</v>
      </c>
      <c r="B62" s="20" t="s">
        <v>47</v>
      </c>
      <c r="C62" s="13" t="s">
        <v>96</v>
      </c>
      <c r="D62" s="11" t="s">
        <v>132</v>
      </c>
      <c r="E62" s="33"/>
      <c r="F62" s="11">
        <v>1</v>
      </c>
      <c r="G62" s="12"/>
      <c r="H62" s="12">
        <f>Таблица1[[#This Row],[дата св-ва о поверке]]+(Таблица1[[#This Row],[МПИ]]*365) -1</f>
        <v>364</v>
      </c>
      <c r="I62" s="15">
        <f t="shared" ca="1" si="1"/>
        <v>-45573</v>
      </c>
      <c r="J62" s="13"/>
      <c r="K62" s="13"/>
      <c r="L62" s="34" t="s">
        <v>98</v>
      </c>
      <c r="M62" s="13"/>
      <c r="N62" s="40"/>
    </row>
    <row r="63" spans="1:14" x14ac:dyDescent="0.25">
      <c r="A63" s="13">
        <v>61</v>
      </c>
      <c r="B63" s="20" t="s">
        <v>47</v>
      </c>
      <c r="C63" s="13" t="s">
        <v>97</v>
      </c>
      <c r="D63" s="11" t="s">
        <v>100</v>
      </c>
      <c r="E63" s="33"/>
      <c r="F63" s="11">
        <v>1</v>
      </c>
      <c r="G63" s="12"/>
      <c r="H63" s="12">
        <f>Таблица1[[#This Row],[дата св-ва о поверке]]+(Таблица1[[#This Row],[МПИ]]*365) -1</f>
        <v>364</v>
      </c>
      <c r="I63" s="15">
        <f t="shared" ca="1" si="1"/>
        <v>-45573</v>
      </c>
      <c r="J63" s="13"/>
      <c r="K63" s="13"/>
      <c r="L63" s="34" t="s">
        <v>98</v>
      </c>
      <c r="M63" s="13"/>
      <c r="N63" s="40"/>
    </row>
    <row r="64" spans="1:14" x14ac:dyDescent="0.25">
      <c r="A64" s="13">
        <v>62</v>
      </c>
      <c r="B64" s="20" t="s">
        <v>47</v>
      </c>
      <c r="C64" s="13" t="s">
        <v>138</v>
      </c>
      <c r="D64" s="11" t="s">
        <v>140</v>
      </c>
      <c r="E64" s="33"/>
      <c r="F64" s="11">
        <v>1</v>
      </c>
      <c r="G64" s="12"/>
      <c r="H64" s="12">
        <f>Таблица1[[#This Row],[дата св-ва о поверке]]+(Таблица1[[#This Row],[МПИ]]*365) -1</f>
        <v>364</v>
      </c>
      <c r="I64" s="15">
        <f t="shared" ca="1" si="1"/>
        <v>-45573</v>
      </c>
      <c r="J64" s="13"/>
      <c r="K64" s="13"/>
      <c r="L64" s="34" t="s">
        <v>98</v>
      </c>
      <c r="M64" s="13"/>
      <c r="N64" s="40"/>
    </row>
    <row r="65" spans="1:14" x14ac:dyDescent="0.25">
      <c r="A65" s="13">
        <v>63</v>
      </c>
      <c r="B65" s="20" t="s">
        <v>370</v>
      </c>
      <c r="C65" s="13" t="s">
        <v>371</v>
      </c>
      <c r="D65" s="11" t="s">
        <v>373</v>
      </c>
      <c r="E65" s="33"/>
      <c r="F65" s="11" t="s">
        <v>11</v>
      </c>
      <c r="G65" s="12"/>
      <c r="H65" s="12">
        <f>Таблица1[[#This Row],[дата св-ва о поверке]]+(Таблица1[[#This Row],[МПИ]]*365) -1</f>
        <v>364</v>
      </c>
      <c r="I65" s="15">
        <f t="shared" ca="1" si="1"/>
        <v>-45573</v>
      </c>
      <c r="J65" s="13"/>
      <c r="K65" s="13"/>
      <c r="L65" s="34" t="s">
        <v>372</v>
      </c>
      <c r="M65" s="13"/>
      <c r="N65" s="40"/>
    </row>
    <row r="66" spans="1:14" x14ac:dyDescent="0.25">
      <c r="A66" s="13">
        <v>64</v>
      </c>
      <c r="B66" s="20" t="s">
        <v>32</v>
      </c>
      <c r="C66" s="13" t="s">
        <v>238</v>
      </c>
      <c r="D66" s="11" t="s">
        <v>236</v>
      </c>
      <c r="E66" s="33"/>
      <c r="F66" s="11">
        <v>1</v>
      </c>
      <c r="G66" s="12"/>
      <c r="H66" s="12">
        <f>Таблица1[[#This Row],[дата св-ва о поверке]]+(Таблица1[[#This Row],[МПИ]]*365) -1</f>
        <v>364</v>
      </c>
      <c r="I66" s="15">
        <f t="shared" ca="1" si="1"/>
        <v>-45573</v>
      </c>
      <c r="J66" s="13"/>
      <c r="K66" s="13"/>
      <c r="L66" s="34" t="s">
        <v>237</v>
      </c>
      <c r="M66" s="13"/>
      <c r="N66" s="40">
        <v>2500</v>
      </c>
    </row>
    <row r="67" spans="1:14" x14ac:dyDescent="0.25">
      <c r="A67" s="13">
        <v>65</v>
      </c>
      <c r="B67" s="20" t="s">
        <v>32</v>
      </c>
      <c r="C67" s="13" t="s">
        <v>33</v>
      </c>
      <c r="D67" s="11" t="s">
        <v>34</v>
      </c>
      <c r="E67" s="33"/>
      <c r="F67" s="11">
        <v>1</v>
      </c>
      <c r="G67" s="12"/>
      <c r="H67" s="12">
        <f>Таблица1[[#This Row],[дата св-ва о поверке]]+(Таблица1[[#This Row],[МПИ]]*365) -1</f>
        <v>364</v>
      </c>
      <c r="I67" s="15">
        <f t="shared" ref="I67:I86" ca="1" si="2">H67-data</f>
        <v>-45573</v>
      </c>
      <c r="J67" s="13"/>
      <c r="K67" s="13"/>
      <c r="L67" s="34" t="s">
        <v>69</v>
      </c>
      <c r="M67" s="13"/>
      <c r="N67" s="40">
        <v>2500</v>
      </c>
    </row>
    <row r="68" spans="1:14" x14ac:dyDescent="0.25">
      <c r="A68" s="13">
        <v>66</v>
      </c>
      <c r="B68" s="20" t="s">
        <v>32</v>
      </c>
      <c r="C68" s="13" t="s">
        <v>33</v>
      </c>
      <c r="D68" s="11" t="s">
        <v>70</v>
      </c>
      <c r="E68" s="33"/>
      <c r="F68" s="11">
        <v>1</v>
      </c>
      <c r="G68" s="12"/>
      <c r="H68" s="12">
        <f>Таблица1[[#This Row],[дата св-ва о поверке]]+(Таблица1[[#This Row],[МПИ]]*365) -1</f>
        <v>364</v>
      </c>
      <c r="I68" s="15">
        <f t="shared" ca="1" si="2"/>
        <v>-45573</v>
      </c>
      <c r="J68" s="13"/>
      <c r="K68" s="13"/>
      <c r="L68" s="34" t="s">
        <v>69</v>
      </c>
      <c r="M68" s="13"/>
      <c r="N68" s="40">
        <v>2500</v>
      </c>
    </row>
    <row r="69" spans="1:14" x14ac:dyDescent="0.25">
      <c r="A69" s="13">
        <v>67</v>
      </c>
      <c r="B69" s="20" t="s">
        <v>32</v>
      </c>
      <c r="C69" s="13" t="s">
        <v>33</v>
      </c>
      <c r="D69" s="11" t="s">
        <v>124</v>
      </c>
      <c r="E69" s="33"/>
      <c r="F69" s="11">
        <v>1</v>
      </c>
      <c r="G69" s="12"/>
      <c r="H69" s="12">
        <f>Таблица1[[#This Row],[дата св-ва о поверке]]+(Таблица1[[#This Row],[МПИ]]*365) -1</f>
        <v>364</v>
      </c>
      <c r="I69" s="15">
        <f t="shared" ca="1" si="2"/>
        <v>-45573</v>
      </c>
      <c r="J69" s="13"/>
      <c r="K69" s="13"/>
      <c r="L69" s="34" t="s">
        <v>69</v>
      </c>
      <c r="M69" s="13"/>
      <c r="N69" s="40">
        <v>2500</v>
      </c>
    </row>
    <row r="70" spans="1:14" x14ac:dyDescent="0.25">
      <c r="A70" s="13">
        <v>68</v>
      </c>
      <c r="B70" s="20" t="s">
        <v>32</v>
      </c>
      <c r="C70" s="13" t="s">
        <v>33</v>
      </c>
      <c r="D70" s="11" t="s">
        <v>210</v>
      </c>
      <c r="E70" s="33"/>
      <c r="F70" s="11">
        <v>1</v>
      </c>
      <c r="G70" s="12"/>
      <c r="H70" s="12">
        <f>Таблица1[[#This Row],[дата св-ва о поверке]]+(Таблица1[[#This Row],[МПИ]]*365) -1</f>
        <v>364</v>
      </c>
      <c r="I70" s="15">
        <f t="shared" ca="1" si="2"/>
        <v>-45573</v>
      </c>
      <c r="J70" s="13"/>
      <c r="K70" s="13"/>
      <c r="L70" s="34" t="s">
        <v>69</v>
      </c>
      <c r="M70" s="13"/>
      <c r="N70" s="40">
        <v>2500</v>
      </c>
    </row>
    <row r="71" spans="1:14" x14ac:dyDescent="0.25">
      <c r="A71" s="13">
        <v>69</v>
      </c>
      <c r="B71" s="20" t="s">
        <v>32</v>
      </c>
      <c r="C71" s="13" t="s">
        <v>137</v>
      </c>
      <c r="D71" s="11" t="s">
        <v>142</v>
      </c>
      <c r="E71" s="33"/>
      <c r="F71" s="11">
        <v>1</v>
      </c>
      <c r="G71" s="12"/>
      <c r="H71" s="12">
        <f>Таблица1[[#This Row],[дата св-ва о поверке]]+(Таблица1[[#This Row],[МПИ]]*365) -1</f>
        <v>364</v>
      </c>
      <c r="I71" s="15">
        <f t="shared" ca="1" si="2"/>
        <v>-45573</v>
      </c>
      <c r="J71" s="13" t="s">
        <v>347</v>
      </c>
      <c r="K71" s="13"/>
      <c r="L71" s="34" t="s">
        <v>139</v>
      </c>
      <c r="M71" s="13"/>
      <c r="N71" s="40"/>
    </row>
    <row r="72" spans="1:14" ht="47.25" x14ac:dyDescent="0.25">
      <c r="A72" s="13">
        <v>70</v>
      </c>
      <c r="B72" s="20" t="s">
        <v>32</v>
      </c>
      <c r="C72" s="13" t="s">
        <v>33</v>
      </c>
      <c r="D72" s="11" t="s">
        <v>510</v>
      </c>
      <c r="E72" s="33"/>
      <c r="F72" s="11" t="s">
        <v>11</v>
      </c>
      <c r="G72" s="12"/>
      <c r="H72" s="12">
        <f>Таблица1[[#This Row],[дата св-ва о поверке]]+(Таблица1[[#This Row],[МПИ]]*365) -1</f>
        <v>364</v>
      </c>
      <c r="I72" s="15">
        <f t="shared" ca="1" si="2"/>
        <v>-45573</v>
      </c>
      <c r="J72" s="13" t="s">
        <v>552</v>
      </c>
      <c r="K72" s="13"/>
      <c r="L72" s="34" t="s">
        <v>69</v>
      </c>
      <c r="M72" s="13" t="s">
        <v>553</v>
      </c>
      <c r="N72" s="40">
        <v>2500</v>
      </c>
    </row>
    <row r="73" spans="1:14" x14ac:dyDescent="0.25">
      <c r="A73" s="13">
        <v>71</v>
      </c>
      <c r="B73" s="20" t="s">
        <v>232</v>
      </c>
      <c r="C73" s="13" t="s">
        <v>87</v>
      </c>
      <c r="D73" s="11" t="s">
        <v>233</v>
      </c>
      <c r="E73" s="33"/>
      <c r="F73" s="11" t="s">
        <v>11</v>
      </c>
      <c r="G73" s="12"/>
      <c r="H73" s="12">
        <f>Таблица1[[#This Row],[дата св-ва о поверке]]+(Таблица1[[#This Row],[МПИ]]*365) -1</f>
        <v>364</v>
      </c>
      <c r="I73" s="15">
        <f t="shared" ca="1" si="2"/>
        <v>-45573</v>
      </c>
      <c r="J73" s="13"/>
      <c r="K73" s="13"/>
      <c r="L73" s="34"/>
      <c r="M73" s="13"/>
      <c r="N73" s="40"/>
    </row>
    <row r="74" spans="1:14" x14ac:dyDescent="0.25">
      <c r="A74" s="13">
        <v>72</v>
      </c>
      <c r="B74" s="20" t="s">
        <v>35</v>
      </c>
      <c r="C74" s="13" t="s">
        <v>37</v>
      </c>
      <c r="D74" s="11" t="s">
        <v>39</v>
      </c>
      <c r="E74" s="33"/>
      <c r="F74" s="11">
        <v>1</v>
      </c>
      <c r="G74" s="12"/>
      <c r="H74" s="12">
        <f>Таблица1[[#This Row],[дата св-ва о поверке]]+(Таблица1[[#This Row],[МПИ]]*365) -1</f>
        <v>364</v>
      </c>
      <c r="I74" s="15">
        <f t="shared" ca="1" si="2"/>
        <v>-45573</v>
      </c>
      <c r="J74" s="13" t="s">
        <v>38</v>
      </c>
      <c r="K74" s="13"/>
      <c r="L74" s="34" t="s">
        <v>36</v>
      </c>
      <c r="M74" s="13" t="s">
        <v>21</v>
      </c>
      <c r="N74" s="40"/>
    </row>
    <row r="75" spans="1:14" x14ac:dyDescent="0.25">
      <c r="A75" s="13">
        <v>73</v>
      </c>
      <c r="B75" s="20" t="s">
        <v>35</v>
      </c>
      <c r="C75" s="13" t="s">
        <v>55</v>
      </c>
      <c r="D75" s="11" t="s">
        <v>56</v>
      </c>
      <c r="E75" s="33"/>
      <c r="F75" s="11">
        <v>1</v>
      </c>
      <c r="G75" s="12"/>
      <c r="H75" s="12">
        <f>Таблица1[[#This Row],[дата св-ва о поверке]]+(Таблица1[[#This Row],[МПИ]]*365) -1</f>
        <v>364</v>
      </c>
      <c r="I75" s="15">
        <f t="shared" ca="1" si="2"/>
        <v>-45573</v>
      </c>
      <c r="J75" s="13" t="s">
        <v>354</v>
      </c>
      <c r="K75" s="13"/>
      <c r="L75" s="34" t="s">
        <v>57</v>
      </c>
      <c r="M75" s="13"/>
      <c r="N75" s="40">
        <v>4750</v>
      </c>
    </row>
    <row r="76" spans="1:14" x14ac:dyDescent="0.25">
      <c r="A76" s="13">
        <v>74</v>
      </c>
      <c r="B76" s="20" t="s">
        <v>35</v>
      </c>
      <c r="C76" s="13" t="s">
        <v>148</v>
      </c>
      <c r="D76" s="11" t="s">
        <v>149</v>
      </c>
      <c r="E76" s="33"/>
      <c r="F76" s="11">
        <v>1</v>
      </c>
      <c r="G76" s="12"/>
      <c r="H76" s="12">
        <f>Таблица1[[#This Row],[дата св-ва о поверке]]+(Таблица1[[#This Row],[МПИ]]*365) -1</f>
        <v>364</v>
      </c>
      <c r="I76" s="15">
        <f t="shared" ca="1" si="2"/>
        <v>-45573</v>
      </c>
      <c r="J76" s="13" t="s">
        <v>351</v>
      </c>
      <c r="K76" s="13"/>
      <c r="L76" s="34" t="s">
        <v>57</v>
      </c>
      <c r="M76" s="13"/>
      <c r="N76" s="40">
        <v>4750</v>
      </c>
    </row>
    <row r="77" spans="1:14" x14ac:dyDescent="0.25">
      <c r="A77" s="13">
        <v>75</v>
      </c>
      <c r="B77" s="20" t="s">
        <v>599</v>
      </c>
      <c r="C77" s="13" t="s">
        <v>117</v>
      </c>
      <c r="D77" s="11" t="s">
        <v>116</v>
      </c>
      <c r="E77" s="33"/>
      <c r="F77" s="11">
        <v>1</v>
      </c>
      <c r="G77" s="12"/>
      <c r="H77" s="12">
        <f>Таблица1[[#This Row],[дата св-ва о поверке]]+(Таблица1[[#This Row],[МПИ]]*365) -1</f>
        <v>364</v>
      </c>
      <c r="I77" s="15">
        <f t="shared" ca="1" si="2"/>
        <v>-45573</v>
      </c>
      <c r="J77" s="13" t="s">
        <v>114</v>
      </c>
      <c r="K77" s="13"/>
      <c r="L77" s="34" t="s">
        <v>115</v>
      </c>
      <c r="M77" s="13" t="s">
        <v>22</v>
      </c>
      <c r="N77" s="40">
        <v>14000</v>
      </c>
    </row>
    <row r="78" spans="1:14" x14ac:dyDescent="0.25">
      <c r="A78" s="13">
        <v>76</v>
      </c>
      <c r="B78" s="20" t="s">
        <v>153</v>
      </c>
      <c r="C78" s="13" t="s">
        <v>151</v>
      </c>
      <c r="D78" s="11" t="s">
        <v>150</v>
      </c>
      <c r="E78" s="33"/>
      <c r="F78" s="11">
        <v>1</v>
      </c>
      <c r="G78" s="12"/>
      <c r="H78" s="12">
        <f>Таблица1[[#This Row],[дата св-ва о поверке]]+(Таблица1[[#This Row],[МПИ]]*365) -1</f>
        <v>364</v>
      </c>
      <c r="I78" s="15">
        <f t="shared" ca="1" si="2"/>
        <v>-45573</v>
      </c>
      <c r="J78" s="13" t="s">
        <v>494</v>
      </c>
      <c r="K78" s="13"/>
      <c r="L78" s="34" t="s">
        <v>152</v>
      </c>
      <c r="M78" s="13"/>
      <c r="N78" s="40"/>
    </row>
    <row r="79" spans="1:14" x14ac:dyDescent="0.25">
      <c r="A79" s="13">
        <v>77</v>
      </c>
      <c r="B79" s="20" t="s">
        <v>153</v>
      </c>
      <c r="C79" s="13" t="s">
        <v>151</v>
      </c>
      <c r="D79" s="11" t="s">
        <v>492</v>
      </c>
      <c r="E79" s="33"/>
      <c r="F79" s="11" t="s">
        <v>11</v>
      </c>
      <c r="G79" s="12"/>
      <c r="H79" s="12">
        <f>Таблица1[[#This Row],[дата св-ва о поверке]]+(Таблица1[[#This Row],[МПИ]]*365) -1</f>
        <v>364</v>
      </c>
      <c r="I79" s="15">
        <f t="shared" ca="1" si="2"/>
        <v>-45573</v>
      </c>
      <c r="J79" s="13" t="s">
        <v>493</v>
      </c>
      <c r="K79" s="13"/>
      <c r="L79" s="34" t="s">
        <v>152</v>
      </c>
      <c r="M79" s="13"/>
      <c r="N79" s="40"/>
    </row>
    <row r="80" spans="1:14" x14ac:dyDescent="0.25">
      <c r="A80" s="13">
        <v>78</v>
      </c>
      <c r="B80" s="20" t="s">
        <v>189</v>
      </c>
      <c r="C80" s="13" t="s">
        <v>167</v>
      </c>
      <c r="D80" s="11" t="s">
        <v>169</v>
      </c>
      <c r="E80" s="33"/>
      <c r="F80" s="11" t="s">
        <v>11</v>
      </c>
      <c r="G80" s="12"/>
      <c r="H80" s="12">
        <f>Таблица1[[#This Row],[дата св-ва о поверке]]+(Таблица1[[#This Row],[МПИ]]*365) -1</f>
        <v>364</v>
      </c>
      <c r="I80" s="15">
        <f t="shared" ca="1" si="2"/>
        <v>-45573</v>
      </c>
      <c r="J80" s="13" t="s">
        <v>335</v>
      </c>
      <c r="K80" s="13"/>
      <c r="L80" s="34" t="s">
        <v>491</v>
      </c>
      <c r="M80" s="13"/>
      <c r="N80" s="40">
        <v>5200</v>
      </c>
    </row>
    <row r="81" spans="1:14" x14ac:dyDescent="0.25">
      <c r="A81" s="13">
        <v>79</v>
      </c>
      <c r="B81" s="20" t="s">
        <v>106</v>
      </c>
      <c r="C81" s="13" t="s">
        <v>107</v>
      </c>
      <c r="D81" s="11" t="s">
        <v>105</v>
      </c>
      <c r="E81" s="33"/>
      <c r="F81" s="11">
        <v>1</v>
      </c>
      <c r="G81" s="12"/>
      <c r="H81" s="12">
        <f>Таблица1[[#This Row],[дата св-ва о поверке]]+(Таблица1[[#This Row],[МПИ]]*365) -1</f>
        <v>364</v>
      </c>
      <c r="I81" s="15">
        <f t="shared" ca="1" si="2"/>
        <v>-45573</v>
      </c>
      <c r="J81" s="13"/>
      <c r="K81" s="13"/>
      <c r="L81" s="34" t="s">
        <v>104</v>
      </c>
      <c r="M81" s="13"/>
      <c r="N81" s="40"/>
    </row>
    <row r="82" spans="1:14" x14ac:dyDescent="0.25">
      <c r="A82" s="13">
        <v>80</v>
      </c>
      <c r="B82" s="20" t="s">
        <v>327</v>
      </c>
      <c r="C82" s="13" t="s">
        <v>325</v>
      </c>
      <c r="D82" s="11" t="s">
        <v>328</v>
      </c>
      <c r="E82" s="33"/>
      <c r="F82" s="11" t="s">
        <v>11</v>
      </c>
      <c r="G82" s="12"/>
      <c r="H82" s="12">
        <f>Таблица1[[#This Row],[дата св-ва о поверке]]+(Таблица1[[#This Row],[МПИ]]*365) -1</f>
        <v>364</v>
      </c>
      <c r="I82" s="15">
        <f t="shared" ca="1" si="2"/>
        <v>-45573</v>
      </c>
      <c r="J82" s="13" t="s">
        <v>322</v>
      </c>
      <c r="K82" s="13"/>
      <c r="L82" s="34" t="s">
        <v>326</v>
      </c>
      <c r="M82" s="13" t="s">
        <v>329</v>
      </c>
      <c r="N82" s="40"/>
    </row>
    <row r="83" spans="1:14" ht="31.5" x14ac:dyDescent="0.25">
      <c r="A83" s="13">
        <v>81</v>
      </c>
      <c r="B83" s="20" t="s">
        <v>601</v>
      </c>
      <c r="C83" s="13" t="s">
        <v>319</v>
      </c>
      <c r="D83" s="11" t="s">
        <v>321</v>
      </c>
      <c r="E83" s="33"/>
      <c r="F83" s="11" t="s">
        <v>11</v>
      </c>
      <c r="G83" s="12"/>
      <c r="H83" s="12">
        <f>Таблица1[[#This Row],[дата св-ва о поверке]]+(Таблица1[[#This Row],[МПИ]]*365) -1</f>
        <v>364</v>
      </c>
      <c r="I83" s="15">
        <f t="shared" ca="1" si="2"/>
        <v>-45573</v>
      </c>
      <c r="J83" s="13" t="s">
        <v>322</v>
      </c>
      <c r="K83" s="13"/>
      <c r="L83" s="34" t="s">
        <v>324</v>
      </c>
      <c r="M83" s="13" t="s">
        <v>323</v>
      </c>
      <c r="N83" s="40"/>
    </row>
    <row r="84" spans="1:14" x14ac:dyDescent="0.25">
      <c r="A84" s="13">
        <v>82</v>
      </c>
      <c r="B84" s="20" t="s">
        <v>602</v>
      </c>
      <c r="C84" s="13" t="s">
        <v>369</v>
      </c>
      <c r="D84" s="11" t="s">
        <v>367</v>
      </c>
      <c r="E84" s="33"/>
      <c r="F84" s="11" t="s">
        <v>11</v>
      </c>
      <c r="G84" s="12"/>
      <c r="H84" s="12">
        <f>Таблица1[[#This Row],[дата св-ва о поверке]]+(Таблица1[[#This Row],[МПИ]]*365) -1</f>
        <v>364</v>
      </c>
      <c r="I84" s="15">
        <f t="shared" ca="1" si="2"/>
        <v>-45573</v>
      </c>
      <c r="J84" s="13"/>
      <c r="K84" s="13"/>
      <c r="L84" s="34" t="s">
        <v>368</v>
      </c>
      <c r="M84" s="13"/>
      <c r="N84" s="40"/>
    </row>
    <row r="85" spans="1:14" ht="94.5" x14ac:dyDescent="0.25">
      <c r="A85" s="13">
        <v>83</v>
      </c>
      <c r="B85" s="20" t="s">
        <v>603</v>
      </c>
      <c r="C85" s="13" t="s">
        <v>495</v>
      </c>
      <c r="D85" s="11" t="s">
        <v>496</v>
      </c>
      <c r="E85" s="33"/>
      <c r="F85" s="11" t="s">
        <v>11</v>
      </c>
      <c r="G85" s="12"/>
      <c r="H85" s="12">
        <f>Таблица1[[#This Row],[дата св-ва о поверке]]+(Таблица1[[#This Row],[МПИ]]*365) -1</f>
        <v>364</v>
      </c>
      <c r="I85" s="15">
        <f t="shared" ca="1" si="2"/>
        <v>-45573</v>
      </c>
      <c r="J85" s="13"/>
      <c r="K85" s="13"/>
      <c r="L85" s="34" t="s">
        <v>543</v>
      </c>
      <c r="M85" s="13" t="s">
        <v>544</v>
      </c>
      <c r="N85" s="40"/>
    </row>
    <row r="86" spans="1:14" ht="31.5" x14ac:dyDescent="0.25">
      <c r="A86" s="13">
        <v>84</v>
      </c>
      <c r="B86" s="20" t="s">
        <v>604</v>
      </c>
      <c r="C86" s="13" t="s">
        <v>319</v>
      </c>
      <c r="D86" s="11" t="s">
        <v>497</v>
      </c>
      <c r="E86" s="33"/>
      <c r="F86" s="11" t="s">
        <v>11</v>
      </c>
      <c r="G86" s="12"/>
      <c r="H86" s="12">
        <f>Таблица1[[#This Row],[дата св-ва о поверке]]+(Таблица1[[#This Row],[МПИ]]*365) -1</f>
        <v>364</v>
      </c>
      <c r="I86" s="15">
        <f t="shared" ca="1" si="2"/>
        <v>-45573</v>
      </c>
      <c r="J86" s="13"/>
      <c r="K86" s="13"/>
      <c r="L86" s="34" t="s">
        <v>324</v>
      </c>
      <c r="M86" s="13" t="s">
        <v>545</v>
      </c>
      <c r="N86" s="47"/>
    </row>
  </sheetData>
  <mergeCells count="1">
    <mergeCell ref="C1:D1"/>
  </mergeCells>
  <phoneticPr fontId="0" type="noConversion"/>
  <conditionalFormatting sqref="I44 I46 I48 I50 I52">
    <cfRule type="cellIs" dxfId="54" priority="22" stopIfTrue="1" operator="between">
      <formula>10</formula>
      <formula>-200000</formula>
    </cfRule>
    <cfRule type="cellIs" dxfId="53" priority="23" stopIfTrue="1" operator="between">
      <formula>30</formula>
      <formula>10</formula>
    </cfRule>
    <cfRule type="cellIs" dxfId="52" priority="24" stopIfTrue="1" operator="between">
      <formula>1000</formula>
      <formula>30</formula>
    </cfRule>
  </conditionalFormatting>
  <conditionalFormatting sqref="I45 I47 I49 I51 I53">
    <cfRule type="cellIs" dxfId="51" priority="17" stopIfTrue="1" operator="between">
      <formula>10</formula>
      <formula>-200000</formula>
    </cfRule>
    <cfRule type="cellIs" dxfId="50" priority="18" stopIfTrue="1" operator="between">
      <formula>30</formula>
      <formula>10</formula>
    </cfRule>
    <cfRule type="cellIs" dxfId="49" priority="19" stopIfTrue="1" operator="between">
      <formula>1000</formula>
      <formula>30</formula>
    </cfRule>
  </conditionalFormatting>
  <conditionalFormatting sqref="I54 I56 I58 I60 I62 I64 I66 I68 I70 I72 I74 I76 I78 I80 I82 I84:I86">
    <cfRule type="cellIs" dxfId="48" priority="11" stopIfTrue="1" operator="between">
      <formula>10</formula>
      <formula>-200000</formula>
    </cfRule>
    <cfRule type="cellIs" dxfId="47" priority="12" stopIfTrue="1" operator="between">
      <formula>30</formula>
      <formula>10</formula>
    </cfRule>
    <cfRule type="cellIs" dxfId="46" priority="13" stopIfTrue="1" operator="between">
      <formula>1000</formula>
      <formula>30</formula>
    </cfRule>
  </conditionalFormatting>
  <conditionalFormatting sqref="I55 I57 I59 I61 I63 I65 I67 I69 I71 I73 I75 I77 I79 I81 I83">
    <cfRule type="cellIs" dxfId="45" priority="8" stopIfTrue="1" operator="between">
      <formula>10</formula>
      <formula>-200000</formula>
    </cfRule>
    <cfRule type="cellIs" dxfId="44" priority="9" stopIfTrue="1" operator="between">
      <formula>30</formula>
      <formula>10</formula>
    </cfRule>
    <cfRule type="cellIs" dxfId="43" priority="10" stopIfTrue="1" operator="between">
      <formula>1000</formula>
      <formula>30</formula>
    </cfRule>
  </conditionalFormatting>
  <conditionalFormatting sqref="I3:I86">
    <cfRule type="cellIs" dxfId="42" priority="5" stopIfTrue="1" operator="between">
      <formula>10</formula>
      <formula>-200000</formula>
    </cfRule>
    <cfRule type="cellIs" dxfId="41" priority="6" stopIfTrue="1" operator="between">
      <formula>30</formula>
      <formula>10</formula>
    </cfRule>
    <cfRule type="cellIs" dxfId="40" priority="7" stopIfTrue="1" operator="between">
      <formula>1000</formula>
      <formula>30</formula>
    </cfRule>
  </conditionalFormatting>
  <conditionalFormatting sqref="I4 I6 I8 I10 I12 I14 I16 I18 I20 I22 I24 I26 I28 I30 I32 I34 I36 I38 I40 I42">
    <cfRule type="cellIs" dxfId="39" priority="2" stopIfTrue="1" operator="between">
      <formula>10</formula>
      <formula>-200000</formula>
    </cfRule>
    <cfRule type="cellIs" dxfId="38" priority="3" stopIfTrue="1" operator="between">
      <formula>30</formula>
      <formula>10</formula>
    </cfRule>
    <cfRule type="cellIs" dxfId="37" priority="4" stopIfTrue="1" operator="between">
      <formula>1000</formula>
      <formula>30</formula>
    </cfRule>
  </conditionalFormatting>
  <hyperlinks>
    <hyperlink ref="L31" r:id="rId1" display=" 54631-13"/>
    <hyperlink ref="L74" r:id="rId2"/>
    <hyperlink ref="L46" r:id="rId3"/>
    <hyperlink ref="L18" r:id="rId4"/>
    <hyperlink ref="L75" r:id="rId5"/>
    <hyperlink ref="L53" r:id="rId6"/>
    <hyperlink ref="L57" r:id="rId7"/>
    <hyperlink ref="L41" r:id="rId8"/>
    <hyperlink ref="L68" r:id="rId9"/>
    <hyperlink ref="L23" r:id="rId10"/>
    <hyperlink ref="L48" r:id="rId11"/>
    <hyperlink ref="L54" r:id="rId12"/>
    <hyperlink ref="L52" r:id="rId13"/>
    <hyperlink ref="L60" r:id="rId14"/>
    <hyperlink ref="L63" r:id="rId15"/>
    <hyperlink ref="L24" r:id="rId16"/>
    <hyperlink ref="L81" r:id="rId17"/>
    <hyperlink ref="L40" r:id="rId18"/>
    <hyperlink ref="L77" r:id="rId19"/>
    <hyperlink ref="L38" r:id="rId20"/>
    <hyperlink ref="L49" r:id="rId21"/>
    <hyperlink ref="L67" r:id="rId22"/>
    <hyperlink ref="L69" r:id="rId23"/>
    <hyperlink ref="L47" r:id="rId24"/>
    <hyperlink ref="L61" r:id="rId25"/>
    <hyperlink ref="L62" r:id="rId26"/>
    <hyperlink ref="L59" r:id="rId27"/>
    <hyperlink ref="L28" r:id="rId28"/>
    <hyperlink ref="L19" r:id="rId29"/>
    <hyperlink ref="L64" r:id="rId30"/>
    <hyperlink ref="L71" r:id="rId31"/>
    <hyperlink ref="L3" r:id="rId32"/>
    <hyperlink ref="L58" r:id="rId33"/>
    <hyperlink ref="L76" r:id="rId34"/>
    <hyperlink ref="L78" r:id="rId35"/>
    <hyperlink ref="L10" r:id="rId36"/>
    <hyperlink ref="L44" r:id="rId37"/>
    <hyperlink ref="L50" r:id="rId38"/>
    <hyperlink ref="L45" r:id="rId39"/>
    <hyperlink ref="L70" r:id="rId40"/>
    <hyperlink ref="L4" r:id="rId41"/>
    <hyperlink ref="L29" r:id="rId42"/>
    <hyperlink ref="L27" r:id="rId43"/>
    <hyperlink ref="L42" r:id="rId44"/>
    <hyperlink ref="L55" r:id="rId45"/>
    <hyperlink ref="L20" r:id="rId46"/>
    <hyperlink ref="L30" r:id="rId47"/>
    <hyperlink ref="L66" r:id="rId48"/>
    <hyperlink ref="L21" r:id="rId49"/>
    <hyperlink ref="L39" r:id="rId50"/>
    <hyperlink ref="L56" r:id="rId51"/>
    <hyperlink ref="L37" r:id="rId52"/>
    <hyperlink ref="L36" r:id="rId53"/>
    <hyperlink ref="L22" r:id="rId54"/>
    <hyperlink ref="E18" r:id="rId55"/>
    <hyperlink ref="E22" r:id="rId56"/>
    <hyperlink ref="E23" r:id="rId57"/>
    <hyperlink ref="E24" r:id="rId58"/>
    <hyperlink ref="E19" r:id="rId59"/>
    <hyperlink ref="L83" r:id="rId60"/>
    <hyperlink ref="L82" r:id="rId61"/>
    <hyperlink ref="L12" r:id="rId62"/>
    <hyperlink ref="L84" r:id="rId63"/>
    <hyperlink ref="L65" r:id="rId64"/>
    <hyperlink ref="L43" r:id="rId65"/>
    <hyperlink ref="L80" r:id="rId66"/>
    <hyperlink ref="L79" r:id="rId67"/>
    <hyperlink ref="L86" r:id="rId68"/>
    <hyperlink ref="L85" r:id="rId69"/>
    <hyperlink ref="L35" r:id="rId70"/>
    <hyperlink ref="L5" r:id="rId71"/>
    <hyperlink ref="L34" r:id="rId72"/>
    <hyperlink ref="L7" r:id="rId73"/>
    <hyperlink ref="L72" r:id="rId74"/>
    <hyperlink ref="L32" r:id="rId75"/>
    <hyperlink ref="L51" r:id="rId76"/>
    <hyperlink ref="L33" r:id="rId77"/>
    <hyperlink ref="L8" r:id="rId78"/>
    <hyperlink ref="L6" r:id="rId79"/>
    <hyperlink ref="L11" r:id="rId80"/>
    <hyperlink ref="E6" r:id="rId81"/>
    <hyperlink ref="E16" r:id="rId82"/>
    <hyperlink ref="L16" r:id="rId83"/>
    <hyperlink ref="E17" r:id="rId84"/>
    <hyperlink ref="L17" r:id="rId85"/>
    <hyperlink ref="E15" r:id="rId86"/>
    <hyperlink ref="L15" r:id="rId87"/>
    <hyperlink ref="E14" r:id="rId88"/>
    <hyperlink ref="L14" r:id="rId89"/>
    <hyperlink ref="E13" r:id="rId90"/>
    <hyperlink ref="L13" r:id="rId91"/>
    <hyperlink ref="E11" r:id="rId92"/>
    <hyperlink ref="E5" r:id="rId93"/>
    <hyperlink ref="E7" r:id="rId94"/>
    <hyperlink ref="E8" r:id="rId95"/>
    <hyperlink ref="E12" r:id="rId96"/>
    <hyperlink ref="E10" r:id="rId97"/>
    <hyperlink ref="E3" r:id="rId98"/>
    <hyperlink ref="L9" r:id="rId99"/>
    <hyperlink ref="E9" r:id="rId100"/>
    <hyperlink ref="E4" r:id="rId101" display="С-ДВУ/19-03-2025/418329776"/>
    <hyperlink ref="E21" r:id="rId102"/>
    <hyperlink ref="E20" r:id="rId103"/>
    <hyperlink ref="L25" r:id="rId104"/>
    <hyperlink ref="L26" r:id="rId105"/>
  </hyperlinks>
  <pageMargins left="0.25" right="0.25" top="0.75" bottom="0.75" header="0.3" footer="0.3"/>
  <pageSetup paperSize="9" scale="61" orientation="landscape" r:id="rId106"/>
  <tableParts count="1">
    <tablePart r:id="rId10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9" tint="-0.249977111117893"/>
  </sheetPr>
  <dimension ref="A1:K3"/>
  <sheetViews>
    <sheetView zoomScaleNormal="100" zoomScaleSheetLayoutView="100" workbookViewId="0">
      <pane ySplit="1" topLeftCell="A2" activePane="bottomLeft" state="frozen"/>
      <selection pane="bottomLeft" activeCell="B1" sqref="B1:C3"/>
    </sheetView>
  </sheetViews>
  <sheetFormatPr defaultRowHeight="15.75" x14ac:dyDescent="0.25"/>
  <cols>
    <col min="1" max="1" width="9" style="8" customWidth="1"/>
    <col min="2" max="2" width="23.42578125" style="8" bestFit="1" customWidth="1"/>
    <col min="3" max="3" width="68.140625" style="8" customWidth="1"/>
    <col min="4" max="4" width="15.7109375" style="9" bestFit="1" customWidth="1"/>
    <col min="5" max="5" width="11.5703125" style="8" bestFit="1" customWidth="1"/>
    <col min="6" max="6" width="12.42578125" style="8" bestFit="1" customWidth="1"/>
    <col min="7" max="7" width="11.28515625" style="8" bestFit="1" customWidth="1"/>
    <col min="8" max="8" width="12.7109375" style="8" bestFit="1" customWidth="1"/>
    <col min="9" max="9" width="6.7109375" style="8" bestFit="1" customWidth="1"/>
    <col min="10" max="10" width="11.28515625" style="8" bestFit="1" customWidth="1"/>
    <col min="11" max="11" width="26.42578125" style="8" customWidth="1"/>
    <col min="12" max="16384" width="9.140625" style="8"/>
  </cols>
  <sheetData>
    <row r="1" spans="1:11" ht="94.5" x14ac:dyDescent="0.25">
      <c r="A1" s="24" t="s">
        <v>0</v>
      </c>
      <c r="B1" s="21" t="s">
        <v>623</v>
      </c>
      <c r="C1" s="21" t="s">
        <v>622</v>
      </c>
      <c r="D1" s="22" t="s">
        <v>2</v>
      </c>
      <c r="E1" s="21" t="s">
        <v>10</v>
      </c>
      <c r="F1" s="21" t="s">
        <v>9</v>
      </c>
      <c r="G1" s="21" t="s">
        <v>6</v>
      </c>
      <c r="H1" s="21" t="s">
        <v>5</v>
      </c>
      <c r="I1" s="21" t="s">
        <v>7</v>
      </c>
      <c r="J1" s="21" t="s">
        <v>8</v>
      </c>
      <c r="K1" s="25" t="s">
        <v>1</v>
      </c>
    </row>
    <row r="2" spans="1:11" ht="31.5" x14ac:dyDescent="0.25">
      <c r="A2" s="23">
        <v>1</v>
      </c>
      <c r="B2" s="5" t="s">
        <v>625</v>
      </c>
      <c r="C2" s="5" t="s">
        <v>624</v>
      </c>
      <c r="D2" s="6" t="s">
        <v>13</v>
      </c>
      <c r="E2" s="4"/>
      <c r="F2" s="3"/>
      <c r="G2" s="3"/>
      <c r="H2" s="7">
        <f ca="1">G2-data</f>
        <v>-45937</v>
      </c>
      <c r="I2" s="2"/>
      <c r="J2" s="1">
        <v>45302</v>
      </c>
      <c r="K2" s="32" t="s">
        <v>170</v>
      </c>
    </row>
    <row r="3" spans="1:11" ht="31.5" x14ac:dyDescent="0.25">
      <c r="A3" s="26">
        <v>2</v>
      </c>
      <c r="B3" s="27" t="s">
        <v>625</v>
      </c>
      <c r="C3" s="27" t="s">
        <v>626</v>
      </c>
      <c r="D3" s="28" t="s">
        <v>14</v>
      </c>
      <c r="E3" s="28"/>
      <c r="F3" s="29"/>
      <c r="G3" s="29"/>
      <c r="H3" s="10">
        <f ca="1">G3-data</f>
        <v>-45937</v>
      </c>
      <c r="I3" s="14"/>
      <c r="J3" s="30">
        <v>42559</v>
      </c>
      <c r="K3" s="31" t="s">
        <v>334</v>
      </c>
    </row>
  </sheetData>
  <conditionalFormatting sqref="H2:H3">
    <cfRule type="cellIs" dxfId="18" priority="172" stopIfTrue="1" operator="between">
      <formula>10</formula>
      <formula>-200000</formula>
    </cfRule>
    <cfRule type="cellIs" dxfId="17" priority="173" stopIfTrue="1" operator="between">
      <formula>30</formula>
      <formula>10</formula>
    </cfRule>
    <cfRule type="cellIs" dxfId="16" priority="174" stopIfTrue="1" operator="between">
      <formula>1000</formula>
      <formula>30</formula>
    </cfRule>
  </conditionalFormatting>
  <pageMargins left="0.23622047244094491" right="0.23622047244094491" top="0.39370078740157483" bottom="0.19685039370078741" header="0.31496062992125984" footer="0.31496062992125984"/>
  <pageSetup paperSize="9" scale="91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9" tint="-0.499984740745262"/>
  </sheetPr>
  <dimension ref="A1:F102"/>
  <sheetViews>
    <sheetView tabSelected="1" zoomScale="85" zoomScaleNormal="85" zoomScaleSheetLayoutView="110" workbookViewId="0">
      <pane ySplit="1" topLeftCell="A75" activePane="bottomLeft" state="frozen"/>
      <selection pane="bottomLeft" activeCell="C79" sqref="C79"/>
    </sheetView>
  </sheetViews>
  <sheetFormatPr defaultRowHeight="15.75" x14ac:dyDescent="0.25"/>
  <cols>
    <col min="1" max="1" width="8.5703125" style="8" customWidth="1"/>
    <col min="2" max="2" width="44.28515625" style="8" customWidth="1"/>
    <col min="3" max="3" width="34.7109375" style="8" customWidth="1"/>
    <col min="4" max="4" width="24.7109375" style="9" customWidth="1"/>
    <col min="5" max="5" width="31.28515625" style="8" customWidth="1"/>
    <col min="6" max="6" width="127.140625" style="8" customWidth="1"/>
    <col min="7" max="16384" width="9.140625" style="8"/>
  </cols>
  <sheetData>
    <row r="1" spans="1:6" ht="31.5" x14ac:dyDescent="0.25">
      <c r="A1" s="35" t="s">
        <v>0</v>
      </c>
      <c r="B1" s="36" t="s">
        <v>181</v>
      </c>
      <c r="C1" s="36" t="s">
        <v>180</v>
      </c>
      <c r="D1" s="37" t="s">
        <v>182</v>
      </c>
      <c r="E1" s="36" t="s">
        <v>7</v>
      </c>
      <c r="F1" s="17" t="s">
        <v>1</v>
      </c>
    </row>
    <row r="2" spans="1:6" x14ac:dyDescent="0.25">
      <c r="A2" s="38">
        <v>1</v>
      </c>
      <c r="B2" s="19" t="s">
        <v>154</v>
      </c>
      <c r="C2" s="13" t="s">
        <v>155</v>
      </c>
      <c r="D2" s="13"/>
      <c r="E2" s="13"/>
      <c r="F2" s="16"/>
    </row>
    <row r="3" spans="1:6" x14ac:dyDescent="0.25">
      <c r="A3" s="38">
        <v>2</v>
      </c>
      <c r="B3" s="19" t="s">
        <v>159</v>
      </c>
      <c r="C3" s="13" t="s">
        <v>382</v>
      </c>
      <c r="D3" s="13" t="s">
        <v>160</v>
      </c>
      <c r="E3" s="13"/>
      <c r="F3" s="16"/>
    </row>
    <row r="4" spans="1:6" x14ac:dyDescent="0.25">
      <c r="A4" s="38">
        <v>3</v>
      </c>
      <c r="B4" s="19" t="s">
        <v>158</v>
      </c>
      <c r="C4" s="13" t="s">
        <v>156</v>
      </c>
      <c r="D4" s="13" t="s">
        <v>157</v>
      </c>
      <c r="E4" s="13"/>
      <c r="F4" s="16"/>
    </row>
    <row r="5" spans="1:6" x14ac:dyDescent="0.25">
      <c r="A5" s="38">
        <v>4</v>
      </c>
      <c r="B5" s="19" t="s">
        <v>82</v>
      </c>
      <c r="C5" s="13" t="s">
        <v>83</v>
      </c>
      <c r="D5" s="13" t="s">
        <v>15</v>
      </c>
      <c r="E5" s="13"/>
      <c r="F5" s="16"/>
    </row>
    <row r="6" spans="1:6" x14ac:dyDescent="0.25">
      <c r="A6" s="38">
        <v>5</v>
      </c>
      <c r="B6" s="19" t="s">
        <v>89</v>
      </c>
      <c r="C6" s="13" t="s">
        <v>90</v>
      </c>
      <c r="D6" s="13" t="s">
        <v>91</v>
      </c>
      <c r="E6" s="13" t="s">
        <v>362</v>
      </c>
      <c r="F6" s="16"/>
    </row>
    <row r="7" spans="1:6" ht="31.5" x14ac:dyDescent="0.25">
      <c r="A7" s="38">
        <v>6</v>
      </c>
      <c r="B7" s="19" t="s">
        <v>171</v>
      </c>
      <c r="C7" s="13" t="s">
        <v>173</v>
      </c>
      <c r="D7" s="13" t="s">
        <v>177</v>
      </c>
      <c r="E7" s="13"/>
      <c r="F7" s="16" t="s">
        <v>176</v>
      </c>
    </row>
    <row r="8" spans="1:6" ht="31.5" x14ac:dyDescent="0.25">
      <c r="A8" s="38">
        <v>7</v>
      </c>
      <c r="B8" s="19" t="s">
        <v>171</v>
      </c>
      <c r="C8" s="13" t="s">
        <v>173</v>
      </c>
      <c r="D8" s="13" t="s">
        <v>179</v>
      </c>
      <c r="E8" s="13"/>
      <c r="F8" s="16" t="s">
        <v>178</v>
      </c>
    </row>
    <row r="9" spans="1:6" ht="31.5" x14ac:dyDescent="0.25">
      <c r="A9" s="38">
        <v>8</v>
      </c>
      <c r="B9" s="19" t="s">
        <v>171</v>
      </c>
      <c r="C9" s="13" t="s">
        <v>172</v>
      </c>
      <c r="D9" s="13">
        <v>61216</v>
      </c>
      <c r="E9" s="13"/>
      <c r="F9" s="16" t="s">
        <v>175</v>
      </c>
    </row>
    <row r="10" spans="1:6" ht="31.5" x14ac:dyDescent="0.25">
      <c r="A10" s="38">
        <v>9</v>
      </c>
      <c r="B10" s="19" t="s">
        <v>171</v>
      </c>
      <c r="C10" s="13" t="s">
        <v>172</v>
      </c>
      <c r="D10" s="13">
        <v>61213</v>
      </c>
      <c r="E10" s="13"/>
      <c r="F10" s="16" t="s">
        <v>174</v>
      </c>
    </row>
    <row r="11" spans="1:6" x14ac:dyDescent="0.25">
      <c r="A11" s="38">
        <v>10</v>
      </c>
      <c r="B11" s="19" t="s">
        <v>50</v>
      </c>
      <c r="C11" s="13" t="s">
        <v>51</v>
      </c>
      <c r="D11" s="13" t="s">
        <v>41</v>
      </c>
      <c r="E11" s="13"/>
      <c r="F11" s="16" t="s">
        <v>40</v>
      </c>
    </row>
    <row r="12" spans="1:6" x14ac:dyDescent="0.25">
      <c r="A12" s="38">
        <v>11</v>
      </c>
      <c r="B12" s="19" t="s">
        <v>32</v>
      </c>
      <c r="C12" s="13" t="s">
        <v>84</v>
      </c>
      <c r="D12" s="13" t="s">
        <v>85</v>
      </c>
      <c r="E12" s="13"/>
      <c r="F12" s="16"/>
    </row>
    <row r="13" spans="1:6" x14ac:dyDescent="0.25">
      <c r="A13" s="38">
        <v>12</v>
      </c>
      <c r="B13" s="19" t="s">
        <v>302</v>
      </c>
      <c r="C13" s="13" t="s">
        <v>80</v>
      </c>
      <c r="D13" s="13" t="s">
        <v>81</v>
      </c>
      <c r="E13" s="13"/>
      <c r="F13" s="16"/>
    </row>
    <row r="14" spans="1:6" x14ac:dyDescent="0.25">
      <c r="A14" s="38">
        <v>13</v>
      </c>
      <c r="B14" s="19" t="s">
        <v>302</v>
      </c>
      <c r="C14" s="13" t="s">
        <v>80</v>
      </c>
      <c r="D14" s="13" t="s">
        <v>127</v>
      </c>
      <c r="E14" s="13"/>
      <c r="F14" s="16"/>
    </row>
    <row r="15" spans="1:6" x14ac:dyDescent="0.25">
      <c r="A15" s="38">
        <v>14</v>
      </c>
      <c r="B15" s="19" t="s">
        <v>302</v>
      </c>
      <c r="C15" s="13" t="s">
        <v>28</v>
      </c>
      <c r="D15" s="13" t="s">
        <v>31</v>
      </c>
      <c r="E15" s="13"/>
      <c r="F15" s="16"/>
    </row>
    <row r="16" spans="1:6" x14ac:dyDescent="0.25">
      <c r="A16" s="38">
        <v>15</v>
      </c>
      <c r="B16" s="19" t="s">
        <v>125</v>
      </c>
      <c r="C16" s="13" t="s">
        <v>126</v>
      </c>
      <c r="D16" s="13"/>
      <c r="E16" s="13"/>
      <c r="F16" s="16"/>
    </row>
    <row r="17" spans="1:6" x14ac:dyDescent="0.25">
      <c r="A17" s="38">
        <v>16</v>
      </c>
      <c r="B17" s="19" t="s">
        <v>86</v>
      </c>
      <c r="C17" s="13" t="s">
        <v>87</v>
      </c>
      <c r="D17" s="13" t="s">
        <v>88</v>
      </c>
      <c r="E17" s="13"/>
      <c r="F17" s="16"/>
    </row>
    <row r="18" spans="1:6" x14ac:dyDescent="0.25">
      <c r="A18" s="38">
        <v>17</v>
      </c>
      <c r="B18" s="19" t="s">
        <v>52</v>
      </c>
      <c r="C18" s="13" t="s">
        <v>53</v>
      </c>
      <c r="D18" s="13" t="s">
        <v>54</v>
      </c>
      <c r="E18" s="13"/>
      <c r="F18" s="16"/>
    </row>
    <row r="19" spans="1:6" ht="31.5" x14ac:dyDescent="0.25">
      <c r="A19" s="38">
        <v>18</v>
      </c>
      <c r="B19" s="19" t="s">
        <v>184</v>
      </c>
      <c r="C19" s="13" t="s">
        <v>183</v>
      </c>
      <c r="D19" s="13" t="s">
        <v>186</v>
      </c>
      <c r="E19" s="13"/>
      <c r="F19" s="16" t="s">
        <v>185</v>
      </c>
    </row>
    <row r="20" spans="1:6" ht="94.5" x14ac:dyDescent="0.25">
      <c r="A20" s="38">
        <v>19</v>
      </c>
      <c r="B20" s="19" t="s">
        <v>188</v>
      </c>
      <c r="C20" s="13" t="s">
        <v>187</v>
      </c>
      <c r="D20" s="13" t="s">
        <v>191</v>
      </c>
      <c r="E20" s="13"/>
      <c r="F20" s="16" t="s">
        <v>331</v>
      </c>
    </row>
    <row r="21" spans="1:6" ht="94.5" x14ac:dyDescent="0.25">
      <c r="A21" s="38">
        <v>20</v>
      </c>
      <c r="B21" s="19" t="s">
        <v>188</v>
      </c>
      <c r="C21" s="13" t="s">
        <v>187</v>
      </c>
      <c r="D21" s="13" t="s">
        <v>192</v>
      </c>
      <c r="E21" s="13"/>
      <c r="F21" s="16" t="s">
        <v>331</v>
      </c>
    </row>
    <row r="22" spans="1:6" ht="94.5" x14ac:dyDescent="0.25">
      <c r="A22" s="38">
        <v>21</v>
      </c>
      <c r="B22" s="19" t="s">
        <v>188</v>
      </c>
      <c r="C22" s="13" t="s">
        <v>187</v>
      </c>
      <c r="D22" s="13" t="s">
        <v>193</v>
      </c>
      <c r="E22" s="13"/>
      <c r="F22" s="16" t="s">
        <v>331</v>
      </c>
    </row>
    <row r="23" spans="1:6" ht="94.5" x14ac:dyDescent="0.25">
      <c r="A23" s="38">
        <v>22</v>
      </c>
      <c r="B23" s="19" t="s">
        <v>197</v>
      </c>
      <c r="C23" s="13" t="s">
        <v>194</v>
      </c>
      <c r="D23" s="13" t="s">
        <v>195</v>
      </c>
      <c r="E23" s="13"/>
      <c r="F23" s="16" t="s">
        <v>196</v>
      </c>
    </row>
    <row r="24" spans="1:6" x14ac:dyDescent="0.25">
      <c r="A24" s="38">
        <v>23</v>
      </c>
      <c r="B24" s="19" t="s">
        <v>203</v>
      </c>
      <c r="C24" s="13" t="s">
        <v>202</v>
      </c>
      <c r="D24" s="13"/>
      <c r="E24" s="13"/>
      <c r="F24" s="16" t="s">
        <v>201</v>
      </c>
    </row>
    <row r="25" spans="1:6" ht="110.25" x14ac:dyDescent="0.25">
      <c r="A25" s="38">
        <v>24</v>
      </c>
      <c r="B25" s="19" t="s">
        <v>205</v>
      </c>
      <c r="C25" s="13" t="s">
        <v>204</v>
      </c>
      <c r="D25" s="13"/>
      <c r="E25" s="13"/>
      <c r="F25" s="16" t="s">
        <v>206</v>
      </c>
    </row>
    <row r="26" spans="1:6" ht="94.5" x14ac:dyDescent="0.25">
      <c r="A26" s="38">
        <v>25</v>
      </c>
      <c r="B26" s="19" t="s">
        <v>215</v>
      </c>
      <c r="C26" s="13" t="s">
        <v>216</v>
      </c>
      <c r="D26" s="13" t="s">
        <v>218</v>
      </c>
      <c r="E26" s="13"/>
      <c r="F26" s="16" t="s">
        <v>217</v>
      </c>
    </row>
    <row r="27" spans="1:6" ht="110.25" x14ac:dyDescent="0.25">
      <c r="A27" s="38">
        <v>26</v>
      </c>
      <c r="B27" s="19" t="s">
        <v>234</v>
      </c>
      <c r="C27" s="13" t="s">
        <v>235</v>
      </c>
      <c r="D27" s="13"/>
      <c r="E27" s="13" t="s">
        <v>18</v>
      </c>
      <c r="F27" s="16" t="s">
        <v>332</v>
      </c>
    </row>
    <row r="28" spans="1:6" ht="94.5" x14ac:dyDescent="0.25">
      <c r="A28" s="38">
        <v>27</v>
      </c>
      <c r="B28" s="19" t="s">
        <v>241</v>
      </c>
      <c r="C28" s="13" t="s">
        <v>240</v>
      </c>
      <c r="D28" s="13" t="s">
        <v>242</v>
      </c>
      <c r="E28" s="13" t="s">
        <v>112</v>
      </c>
      <c r="F28" s="16" t="s">
        <v>243</v>
      </c>
    </row>
    <row r="29" spans="1:6" ht="126" x14ac:dyDescent="0.25">
      <c r="A29" s="38">
        <v>28</v>
      </c>
      <c r="B29" s="19" t="s">
        <v>245</v>
      </c>
      <c r="C29" s="13" t="s">
        <v>244</v>
      </c>
      <c r="D29" s="13" t="s">
        <v>247</v>
      </c>
      <c r="E29" s="13"/>
      <c r="F29" s="16" t="s">
        <v>246</v>
      </c>
    </row>
    <row r="30" spans="1:6" x14ac:dyDescent="0.25">
      <c r="A30" s="38">
        <v>29</v>
      </c>
      <c r="B30" s="19" t="s">
        <v>252</v>
      </c>
      <c r="C30" s="13" t="s">
        <v>248</v>
      </c>
      <c r="D30" s="13" t="s">
        <v>249</v>
      </c>
      <c r="E30" s="13" t="s">
        <v>250</v>
      </c>
      <c r="F30" s="16" t="s">
        <v>251</v>
      </c>
    </row>
    <row r="31" spans="1:6" x14ac:dyDescent="0.25">
      <c r="A31" s="38">
        <v>30</v>
      </c>
      <c r="B31" s="19" t="s">
        <v>253</v>
      </c>
      <c r="C31" s="13" t="s">
        <v>254</v>
      </c>
      <c r="D31" s="13"/>
      <c r="E31" s="13"/>
      <c r="F31" s="16"/>
    </row>
    <row r="32" spans="1:6" x14ac:dyDescent="0.25">
      <c r="A32" s="38">
        <v>31</v>
      </c>
      <c r="B32" s="19" t="s">
        <v>302</v>
      </c>
      <c r="C32" s="13" t="s">
        <v>80</v>
      </c>
      <c r="D32" s="13" t="s">
        <v>259</v>
      </c>
      <c r="E32" s="13"/>
      <c r="F32" s="16"/>
    </row>
    <row r="33" spans="1:6" ht="31.5" x14ac:dyDescent="0.25">
      <c r="A33" s="38">
        <v>32</v>
      </c>
      <c r="B33" s="19" t="s">
        <v>264</v>
      </c>
      <c r="C33" s="13" t="s">
        <v>265</v>
      </c>
      <c r="D33" s="13" t="s">
        <v>267</v>
      </c>
      <c r="E33" s="13"/>
      <c r="F33" s="16" t="s">
        <v>266</v>
      </c>
    </row>
    <row r="34" spans="1:6" ht="173.25" x14ac:dyDescent="0.25">
      <c r="A34" s="38">
        <v>33</v>
      </c>
      <c r="B34" s="19" t="s">
        <v>188</v>
      </c>
      <c r="C34" s="13" t="s">
        <v>187</v>
      </c>
      <c r="D34" s="13" t="s">
        <v>272</v>
      </c>
      <c r="E34" s="13"/>
      <c r="F34" s="16" t="s">
        <v>190</v>
      </c>
    </row>
    <row r="35" spans="1:6" ht="47.25" x14ac:dyDescent="0.25">
      <c r="A35" s="38">
        <v>34</v>
      </c>
      <c r="B35" s="19" t="s">
        <v>273</v>
      </c>
      <c r="C35" s="13" t="s">
        <v>274</v>
      </c>
      <c r="D35" s="13" t="s">
        <v>276</v>
      </c>
      <c r="E35" s="13"/>
      <c r="F35" s="16" t="s">
        <v>275</v>
      </c>
    </row>
    <row r="36" spans="1:6" x14ac:dyDescent="0.25">
      <c r="A36" s="38">
        <v>35</v>
      </c>
      <c r="B36" s="19" t="s">
        <v>279</v>
      </c>
      <c r="C36" s="13" t="s">
        <v>277</v>
      </c>
      <c r="D36" s="13" t="s">
        <v>278</v>
      </c>
      <c r="E36" s="13"/>
      <c r="F36" s="16" t="s">
        <v>280</v>
      </c>
    </row>
    <row r="37" spans="1:6" x14ac:dyDescent="0.25">
      <c r="A37" s="38">
        <v>36</v>
      </c>
      <c r="B37" s="19" t="s">
        <v>282</v>
      </c>
      <c r="C37" s="13" t="s">
        <v>281</v>
      </c>
      <c r="D37" s="13" t="s">
        <v>284</v>
      </c>
      <c r="E37" s="13"/>
      <c r="F37" s="16" t="s">
        <v>283</v>
      </c>
    </row>
    <row r="38" spans="1:6" x14ac:dyDescent="0.25">
      <c r="A38" s="38">
        <v>37</v>
      </c>
      <c r="B38" s="19" t="s">
        <v>279</v>
      </c>
      <c r="C38" s="13" t="s">
        <v>277</v>
      </c>
      <c r="D38" s="13" t="s">
        <v>285</v>
      </c>
      <c r="E38" s="13" t="s">
        <v>286</v>
      </c>
      <c r="F38" s="16" t="s">
        <v>280</v>
      </c>
    </row>
    <row r="39" spans="1:6" ht="110.25" x14ac:dyDescent="0.25">
      <c r="A39" s="38">
        <v>38</v>
      </c>
      <c r="B39" s="19" t="s">
        <v>287</v>
      </c>
      <c r="C39" s="13" t="s">
        <v>288</v>
      </c>
      <c r="D39" s="13" t="s">
        <v>290</v>
      </c>
      <c r="E39" s="13"/>
      <c r="F39" s="16" t="s">
        <v>289</v>
      </c>
    </row>
    <row r="40" spans="1:6" ht="78.75" x14ac:dyDescent="0.25">
      <c r="A40" s="38">
        <v>39</v>
      </c>
      <c r="B40" s="19" t="s">
        <v>292</v>
      </c>
      <c r="C40" s="13" t="s">
        <v>291</v>
      </c>
      <c r="D40" s="13" t="s">
        <v>294</v>
      </c>
      <c r="E40" s="13"/>
      <c r="F40" s="16" t="s">
        <v>293</v>
      </c>
    </row>
    <row r="41" spans="1:6" ht="47.25" x14ac:dyDescent="0.25">
      <c r="A41" s="38">
        <v>40</v>
      </c>
      <c r="B41" s="19" t="s">
        <v>295</v>
      </c>
      <c r="C41" s="13" t="s">
        <v>296</v>
      </c>
      <c r="D41" s="13" t="s">
        <v>298</v>
      </c>
      <c r="E41" s="13" t="s">
        <v>299</v>
      </c>
      <c r="F41" s="16" t="s">
        <v>297</v>
      </c>
    </row>
    <row r="42" spans="1:6" ht="47.25" x14ac:dyDescent="0.25">
      <c r="A42" s="38">
        <v>41</v>
      </c>
      <c r="B42" s="19" t="s">
        <v>295</v>
      </c>
      <c r="C42" s="13" t="s">
        <v>296</v>
      </c>
      <c r="D42" s="13" t="s">
        <v>262</v>
      </c>
      <c r="E42" s="13" t="s">
        <v>300</v>
      </c>
      <c r="F42" s="16" t="s">
        <v>297</v>
      </c>
    </row>
    <row r="43" spans="1:6" ht="110.25" x14ac:dyDescent="0.25">
      <c r="A43" s="38">
        <v>42</v>
      </c>
      <c r="B43" s="19" t="s">
        <v>302</v>
      </c>
      <c r="C43" s="13" t="s">
        <v>301</v>
      </c>
      <c r="D43" s="13" t="s">
        <v>303</v>
      </c>
      <c r="E43" s="13"/>
      <c r="F43" s="16" t="s">
        <v>333</v>
      </c>
    </row>
    <row r="44" spans="1:6" ht="153.75" customHeight="1" x14ac:dyDescent="0.25">
      <c r="A44" s="38">
        <v>43</v>
      </c>
      <c r="B44" s="19" t="s">
        <v>302</v>
      </c>
      <c r="C44" s="13" t="s">
        <v>301</v>
      </c>
      <c r="D44" s="13" t="s">
        <v>304</v>
      </c>
      <c r="E44" s="13"/>
      <c r="F44" s="16" t="s">
        <v>305</v>
      </c>
    </row>
    <row r="45" spans="1:6" ht="141.75" x14ac:dyDescent="0.25">
      <c r="A45" s="38">
        <v>44</v>
      </c>
      <c r="B45" s="19" t="s">
        <v>315</v>
      </c>
      <c r="C45" s="13" t="s">
        <v>316</v>
      </c>
      <c r="D45" s="13" t="s">
        <v>317</v>
      </c>
      <c r="E45" s="13" t="s">
        <v>318</v>
      </c>
      <c r="F45" s="16" t="s">
        <v>330</v>
      </c>
    </row>
    <row r="46" spans="1:6" x14ac:dyDescent="0.25">
      <c r="A46" s="38">
        <v>45</v>
      </c>
      <c r="B46" s="19" t="s">
        <v>341</v>
      </c>
      <c r="C46" s="13" t="s">
        <v>340</v>
      </c>
      <c r="D46" s="13" t="s">
        <v>344</v>
      </c>
      <c r="E46" s="13" t="s">
        <v>343</v>
      </c>
      <c r="F46" s="16" t="s">
        <v>342</v>
      </c>
    </row>
    <row r="47" spans="1:6" ht="31.5" x14ac:dyDescent="0.25">
      <c r="A47" s="38">
        <v>46</v>
      </c>
      <c r="B47" s="19" t="s">
        <v>364</v>
      </c>
      <c r="C47" s="13" t="s">
        <v>366</v>
      </c>
      <c r="D47" s="13" t="s">
        <v>365</v>
      </c>
      <c r="E47" s="13"/>
      <c r="F47" s="16"/>
    </row>
    <row r="48" spans="1:6" x14ac:dyDescent="0.25">
      <c r="A48" s="38">
        <v>47</v>
      </c>
      <c r="B48" s="19" t="s">
        <v>376</v>
      </c>
      <c r="C48" s="13" t="s">
        <v>375</v>
      </c>
      <c r="D48" s="13" t="s">
        <v>377</v>
      </c>
      <c r="E48" s="13"/>
      <c r="F48" s="16" t="s">
        <v>374</v>
      </c>
    </row>
    <row r="49" spans="1:6" x14ac:dyDescent="0.25">
      <c r="A49" s="38">
        <v>48</v>
      </c>
      <c r="B49" s="19" t="s">
        <v>378</v>
      </c>
      <c r="C49" s="13" t="s">
        <v>423</v>
      </c>
      <c r="D49" s="13">
        <v>24235156</v>
      </c>
      <c r="E49" s="13"/>
      <c r="F49" s="16" t="s">
        <v>379</v>
      </c>
    </row>
    <row r="50" spans="1:6" x14ac:dyDescent="0.25">
      <c r="A50" s="38">
        <v>49</v>
      </c>
      <c r="B50" s="19" t="s">
        <v>378</v>
      </c>
      <c r="C50" s="13" t="s">
        <v>423</v>
      </c>
      <c r="D50" s="13">
        <v>24235157</v>
      </c>
      <c r="E50" s="13"/>
      <c r="F50" s="16" t="s">
        <v>380</v>
      </c>
    </row>
    <row r="51" spans="1:6" x14ac:dyDescent="0.25">
      <c r="A51" s="38">
        <v>50</v>
      </c>
      <c r="B51" s="19" t="s">
        <v>378</v>
      </c>
      <c r="C51" s="13" t="s">
        <v>423</v>
      </c>
      <c r="D51" s="13">
        <v>24235158</v>
      </c>
      <c r="E51" s="13"/>
      <c r="F51" s="16" t="s">
        <v>381</v>
      </c>
    </row>
    <row r="52" spans="1:6" x14ac:dyDescent="0.25">
      <c r="A52" s="38">
        <v>51</v>
      </c>
      <c r="B52" s="19" t="s">
        <v>159</v>
      </c>
      <c r="C52" s="13" t="s">
        <v>382</v>
      </c>
      <c r="D52" s="13" t="s">
        <v>383</v>
      </c>
      <c r="E52" s="13"/>
      <c r="F52" s="16"/>
    </row>
    <row r="53" spans="1:6" x14ac:dyDescent="0.25">
      <c r="A53" s="38">
        <v>52</v>
      </c>
      <c r="B53" s="19" t="s">
        <v>159</v>
      </c>
      <c r="C53" s="13" t="s">
        <v>382</v>
      </c>
      <c r="D53" s="13" t="s">
        <v>383</v>
      </c>
      <c r="E53" s="13"/>
      <c r="F53" s="16"/>
    </row>
    <row r="54" spans="1:6" x14ac:dyDescent="0.25">
      <c r="A54" s="38">
        <v>53</v>
      </c>
      <c r="B54" s="19" t="s">
        <v>159</v>
      </c>
      <c r="C54" s="13" t="s">
        <v>382</v>
      </c>
      <c r="D54" s="13" t="s">
        <v>384</v>
      </c>
      <c r="E54" s="13"/>
      <c r="F54" s="16"/>
    </row>
    <row r="55" spans="1:6" x14ac:dyDescent="0.25">
      <c r="A55" s="38">
        <v>54</v>
      </c>
      <c r="B55" s="19" t="s">
        <v>385</v>
      </c>
      <c r="C55" s="13" t="s">
        <v>386</v>
      </c>
      <c r="D55" s="13"/>
      <c r="E55" s="13"/>
      <c r="F55" s="16"/>
    </row>
    <row r="56" spans="1:6" x14ac:dyDescent="0.25">
      <c r="A56" s="38">
        <v>55</v>
      </c>
      <c r="B56" s="19" t="s">
        <v>388</v>
      </c>
      <c r="C56" s="13" t="s">
        <v>387</v>
      </c>
      <c r="D56" s="13" t="s">
        <v>389</v>
      </c>
      <c r="E56" s="13"/>
      <c r="F56" s="16"/>
    </row>
    <row r="57" spans="1:6" x14ac:dyDescent="0.25">
      <c r="A57" s="38">
        <v>56</v>
      </c>
      <c r="B57" s="19" t="s">
        <v>391</v>
      </c>
      <c r="C57" s="13" t="s">
        <v>390</v>
      </c>
      <c r="D57" s="13" t="s">
        <v>392</v>
      </c>
      <c r="E57" s="13"/>
      <c r="F57" s="16"/>
    </row>
    <row r="58" spans="1:6" x14ac:dyDescent="0.25">
      <c r="A58" s="38">
        <v>57</v>
      </c>
      <c r="B58" s="19" t="s">
        <v>391</v>
      </c>
      <c r="C58" s="13" t="s">
        <v>394</v>
      </c>
      <c r="D58" s="13" t="s">
        <v>393</v>
      </c>
      <c r="E58" s="13"/>
      <c r="F58" s="16"/>
    </row>
    <row r="59" spans="1:6" x14ac:dyDescent="0.25">
      <c r="A59" s="38">
        <v>58</v>
      </c>
      <c r="B59" s="19" t="s">
        <v>399</v>
      </c>
      <c r="C59" s="13" t="s">
        <v>398</v>
      </c>
      <c r="D59" s="13" t="s">
        <v>401</v>
      </c>
      <c r="E59" s="13"/>
      <c r="F59" s="16" t="s">
        <v>400</v>
      </c>
    </row>
    <row r="60" spans="1:6" x14ac:dyDescent="0.25">
      <c r="A60" s="38">
        <v>59</v>
      </c>
      <c r="B60" s="19" t="s">
        <v>402</v>
      </c>
      <c r="C60" s="13" t="s">
        <v>405</v>
      </c>
      <c r="D60" s="13" t="s">
        <v>404</v>
      </c>
      <c r="E60" s="13"/>
      <c r="F60" s="16"/>
    </row>
    <row r="61" spans="1:6" x14ac:dyDescent="0.25">
      <c r="A61" s="38">
        <v>60</v>
      </c>
      <c r="B61" s="19" t="s">
        <v>402</v>
      </c>
      <c r="C61" s="13" t="s">
        <v>405</v>
      </c>
      <c r="D61" s="13" t="s">
        <v>403</v>
      </c>
      <c r="E61" s="13"/>
      <c r="F61" s="16"/>
    </row>
    <row r="62" spans="1:6" x14ac:dyDescent="0.25">
      <c r="A62" s="38">
        <v>61</v>
      </c>
      <c r="B62" s="19" t="s">
        <v>407</v>
      </c>
      <c r="C62" s="13" t="s">
        <v>406</v>
      </c>
      <c r="D62" s="13"/>
      <c r="E62" s="13"/>
      <c r="F62" s="16" t="s">
        <v>408</v>
      </c>
    </row>
    <row r="63" spans="1:6" x14ac:dyDescent="0.25">
      <c r="A63" s="38">
        <v>62</v>
      </c>
      <c r="B63" s="19" t="s">
        <v>411</v>
      </c>
      <c r="C63" s="13" t="s">
        <v>409</v>
      </c>
      <c r="D63" s="13" t="s">
        <v>412</v>
      </c>
      <c r="E63" s="13"/>
      <c r="F63" s="16" t="s">
        <v>410</v>
      </c>
    </row>
    <row r="64" spans="1:6" ht="31.5" x14ac:dyDescent="0.25">
      <c r="A64" s="38">
        <v>63</v>
      </c>
      <c r="B64" s="19" t="s">
        <v>414</v>
      </c>
      <c r="C64" s="13" t="s">
        <v>413</v>
      </c>
      <c r="D64" s="13" t="s">
        <v>416</v>
      </c>
      <c r="E64" s="13"/>
      <c r="F64" s="16" t="s">
        <v>415</v>
      </c>
    </row>
    <row r="65" spans="1:6" x14ac:dyDescent="0.25">
      <c r="A65" s="38">
        <v>64</v>
      </c>
      <c r="B65" s="19" t="s">
        <v>414</v>
      </c>
      <c r="C65" s="13" t="s">
        <v>417</v>
      </c>
      <c r="D65" s="13" t="s">
        <v>418</v>
      </c>
      <c r="E65" s="13"/>
      <c r="F65" s="16" t="s">
        <v>419</v>
      </c>
    </row>
    <row r="66" spans="1:6" x14ac:dyDescent="0.25">
      <c r="A66" s="38">
        <v>65</v>
      </c>
      <c r="B66" s="19" t="s">
        <v>421</v>
      </c>
      <c r="C66" s="13" t="s">
        <v>420</v>
      </c>
      <c r="D66" s="13"/>
      <c r="E66" s="13"/>
      <c r="F66" s="16" t="s">
        <v>422</v>
      </c>
    </row>
    <row r="67" spans="1:6" ht="31.5" x14ac:dyDescent="0.25">
      <c r="A67" s="38">
        <v>66</v>
      </c>
      <c r="B67" s="19" t="s">
        <v>320</v>
      </c>
      <c r="C67" s="13"/>
      <c r="D67" s="13"/>
      <c r="E67" s="13"/>
      <c r="F67" s="13" t="s">
        <v>424</v>
      </c>
    </row>
    <row r="68" spans="1:6" ht="31.5" x14ac:dyDescent="0.25">
      <c r="A68" s="38">
        <v>67</v>
      </c>
      <c r="B68" s="19" t="s">
        <v>320</v>
      </c>
      <c r="C68" s="13"/>
      <c r="D68" s="13"/>
      <c r="E68" s="13"/>
      <c r="F68" s="13" t="s">
        <v>425</v>
      </c>
    </row>
    <row r="69" spans="1:6" ht="31.5" x14ac:dyDescent="0.25">
      <c r="A69" s="38">
        <v>68</v>
      </c>
      <c r="B69" s="19" t="s">
        <v>320</v>
      </c>
      <c r="C69" s="13"/>
      <c r="D69" s="13"/>
      <c r="E69" s="13"/>
      <c r="F69" s="13" t="s">
        <v>426</v>
      </c>
    </row>
    <row r="70" spans="1:6" ht="78.75" x14ac:dyDescent="0.25">
      <c r="A70" s="38">
        <v>69</v>
      </c>
      <c r="B70" s="19" t="s">
        <v>370</v>
      </c>
      <c r="C70" s="13" t="s">
        <v>427</v>
      </c>
      <c r="D70" s="13"/>
      <c r="E70" s="13"/>
      <c r="F70" s="13" t="s">
        <v>428</v>
      </c>
    </row>
    <row r="71" spans="1:6" ht="63" x14ac:dyDescent="0.25">
      <c r="A71" s="38">
        <v>70</v>
      </c>
      <c r="B71" s="19" t="s">
        <v>370</v>
      </c>
      <c r="C71" s="13" t="s">
        <v>429</v>
      </c>
      <c r="D71" s="13" t="s">
        <v>430</v>
      </c>
      <c r="E71" s="13"/>
      <c r="F71" s="13" t="s">
        <v>431</v>
      </c>
    </row>
    <row r="72" spans="1:6" ht="31.5" x14ac:dyDescent="0.25">
      <c r="A72" s="38">
        <v>71</v>
      </c>
      <c r="B72" s="19" t="s">
        <v>432</v>
      </c>
      <c r="C72" s="13" t="s">
        <v>433</v>
      </c>
      <c r="D72" s="13" t="s">
        <v>434</v>
      </c>
      <c r="E72" s="13"/>
      <c r="F72" s="13" t="s">
        <v>435</v>
      </c>
    </row>
    <row r="73" spans="1:6" ht="47.25" x14ac:dyDescent="0.25">
      <c r="A73" s="38">
        <v>72</v>
      </c>
      <c r="B73" s="19" t="s">
        <v>436</v>
      </c>
      <c r="C73" s="13" t="s">
        <v>437</v>
      </c>
      <c r="D73" s="13"/>
      <c r="E73" s="13"/>
      <c r="F73" s="13" t="s">
        <v>438</v>
      </c>
    </row>
    <row r="74" spans="1:6" ht="63" x14ac:dyDescent="0.25">
      <c r="A74" s="38">
        <v>73</v>
      </c>
      <c r="B74" s="19" t="s">
        <v>439</v>
      </c>
      <c r="C74" s="13" t="s">
        <v>440</v>
      </c>
      <c r="D74" s="13" t="s">
        <v>441</v>
      </c>
      <c r="E74" s="13"/>
      <c r="F74" s="13" t="s">
        <v>442</v>
      </c>
    </row>
    <row r="75" spans="1:6" ht="94.5" x14ac:dyDescent="0.25">
      <c r="A75" s="38">
        <v>74</v>
      </c>
      <c r="B75" s="19" t="s">
        <v>443</v>
      </c>
      <c r="C75" s="13" t="s">
        <v>444</v>
      </c>
      <c r="D75" s="13" t="s">
        <v>445</v>
      </c>
      <c r="E75" s="13"/>
      <c r="F75" s="13" t="s">
        <v>446</v>
      </c>
    </row>
    <row r="76" spans="1:6" ht="47.25" x14ac:dyDescent="0.25">
      <c r="A76" s="38">
        <v>75</v>
      </c>
      <c r="B76" s="19" t="s">
        <v>50</v>
      </c>
      <c r="C76" s="13" t="s">
        <v>447</v>
      </c>
      <c r="D76" s="13" t="s">
        <v>448</v>
      </c>
      <c r="E76" s="13"/>
      <c r="F76" s="13" t="s">
        <v>449</v>
      </c>
    </row>
    <row r="77" spans="1:6" ht="63" x14ac:dyDescent="0.25">
      <c r="A77" s="38">
        <v>76</v>
      </c>
      <c r="B77" s="19" t="s">
        <v>450</v>
      </c>
      <c r="C77" s="13" t="s">
        <v>628</v>
      </c>
      <c r="D77" s="13" t="s">
        <v>451</v>
      </c>
      <c r="E77" s="13"/>
      <c r="F77" s="13" t="s">
        <v>452</v>
      </c>
    </row>
    <row r="78" spans="1:6" ht="78.75" x14ac:dyDescent="0.25">
      <c r="A78" s="38">
        <v>77</v>
      </c>
      <c r="B78" s="19" t="s">
        <v>453</v>
      </c>
      <c r="C78" s="13" t="s">
        <v>629</v>
      </c>
      <c r="D78" s="13" t="s">
        <v>454</v>
      </c>
      <c r="E78" s="13"/>
      <c r="F78" s="13" t="s">
        <v>627</v>
      </c>
    </row>
    <row r="79" spans="1:6" ht="63" x14ac:dyDescent="0.25">
      <c r="A79" s="38">
        <v>78</v>
      </c>
      <c r="B79" s="19" t="s">
        <v>455</v>
      </c>
      <c r="C79" s="13" t="s">
        <v>456</v>
      </c>
      <c r="D79" s="13"/>
      <c r="E79" s="13"/>
      <c r="F79" s="13" t="s">
        <v>457</v>
      </c>
    </row>
    <row r="80" spans="1:6" ht="31.5" x14ac:dyDescent="0.25">
      <c r="A80" s="38">
        <v>79</v>
      </c>
      <c r="B80" s="19" t="s">
        <v>458</v>
      </c>
      <c r="C80" s="13"/>
      <c r="D80" s="13"/>
      <c r="E80" s="13"/>
      <c r="F80" s="13" t="s">
        <v>459</v>
      </c>
    </row>
    <row r="81" spans="1:6" x14ac:dyDescent="0.25">
      <c r="A81" s="38">
        <v>80</v>
      </c>
      <c r="B81" s="19" t="s">
        <v>50</v>
      </c>
      <c r="C81" s="13" t="s">
        <v>460</v>
      </c>
      <c r="D81" s="13"/>
      <c r="E81" s="13"/>
      <c r="F81" s="13" t="s">
        <v>461</v>
      </c>
    </row>
    <row r="82" spans="1:6" x14ac:dyDescent="0.25">
      <c r="A82" s="38">
        <v>81</v>
      </c>
      <c r="B82" s="19" t="s">
        <v>462</v>
      </c>
      <c r="C82" s="13"/>
      <c r="D82" s="13"/>
      <c r="E82" s="13"/>
      <c r="F82" s="13" t="s">
        <v>463</v>
      </c>
    </row>
    <row r="83" spans="1:6" ht="47.25" x14ac:dyDescent="0.25">
      <c r="A83" s="38">
        <v>82</v>
      </c>
      <c r="B83" s="19" t="s">
        <v>462</v>
      </c>
      <c r="C83" s="13" t="s">
        <v>464</v>
      </c>
      <c r="D83" s="13" t="s">
        <v>465</v>
      </c>
      <c r="E83" s="13"/>
      <c r="F83" s="13" t="s">
        <v>466</v>
      </c>
    </row>
    <row r="84" spans="1:6" x14ac:dyDescent="0.25">
      <c r="A84" s="38">
        <v>83</v>
      </c>
      <c r="B84" s="19" t="s">
        <v>462</v>
      </c>
      <c r="C84" s="13" t="s">
        <v>467</v>
      </c>
      <c r="D84" s="13"/>
      <c r="E84" s="13"/>
      <c r="F84" s="13" t="s">
        <v>468</v>
      </c>
    </row>
    <row r="85" spans="1:6" ht="31.5" x14ac:dyDescent="0.25">
      <c r="A85" s="38">
        <v>84</v>
      </c>
      <c r="B85" s="19" t="s">
        <v>469</v>
      </c>
      <c r="C85" s="13" t="s">
        <v>470</v>
      </c>
      <c r="D85" s="13"/>
      <c r="E85" s="13"/>
      <c r="F85" s="13" t="s">
        <v>471</v>
      </c>
    </row>
    <row r="86" spans="1:6" ht="47.25" x14ac:dyDescent="0.25">
      <c r="A86" s="38">
        <v>85</v>
      </c>
      <c r="B86" s="19" t="s">
        <v>50</v>
      </c>
      <c r="C86" s="13" t="s">
        <v>447</v>
      </c>
      <c r="D86" s="13" t="s">
        <v>472</v>
      </c>
      <c r="E86" s="13"/>
      <c r="F86" s="13" t="s">
        <v>449</v>
      </c>
    </row>
    <row r="87" spans="1:6" ht="31.5" x14ac:dyDescent="0.25">
      <c r="A87" s="38">
        <v>86</v>
      </c>
      <c r="B87" s="19" t="s">
        <v>473</v>
      </c>
      <c r="C87" s="13" t="s">
        <v>474</v>
      </c>
      <c r="D87" s="13"/>
      <c r="E87" s="13"/>
      <c r="F87" s="13" t="s">
        <v>475</v>
      </c>
    </row>
    <row r="88" spans="1:6" ht="31.5" x14ac:dyDescent="0.25">
      <c r="A88" s="38">
        <v>87</v>
      </c>
      <c r="B88" s="19" t="s">
        <v>458</v>
      </c>
      <c r="C88" s="13"/>
      <c r="D88" s="13"/>
      <c r="E88" s="13"/>
      <c r="F88" s="13" t="s">
        <v>476</v>
      </c>
    </row>
    <row r="89" spans="1:6" ht="47.25" x14ac:dyDescent="0.25">
      <c r="A89" s="38">
        <v>88</v>
      </c>
      <c r="B89" s="19" t="s">
        <v>50</v>
      </c>
      <c r="C89" s="13" t="s">
        <v>447</v>
      </c>
      <c r="D89" s="13"/>
      <c r="E89" s="13"/>
      <c r="F89" s="13" t="s">
        <v>477</v>
      </c>
    </row>
    <row r="90" spans="1:6" ht="47.25" x14ac:dyDescent="0.25">
      <c r="A90" s="38">
        <v>89</v>
      </c>
      <c r="B90" s="19" t="s">
        <v>50</v>
      </c>
      <c r="C90" s="13" t="s">
        <v>447</v>
      </c>
      <c r="D90" s="13" t="s">
        <v>478</v>
      </c>
      <c r="E90" s="13"/>
      <c r="F90" s="13" t="s">
        <v>477</v>
      </c>
    </row>
    <row r="91" spans="1:6" ht="47.25" x14ac:dyDescent="0.25">
      <c r="A91" s="38">
        <v>90</v>
      </c>
      <c r="B91" s="19" t="s">
        <v>50</v>
      </c>
      <c r="C91" s="13" t="s">
        <v>447</v>
      </c>
      <c r="D91" s="13" t="s">
        <v>479</v>
      </c>
      <c r="E91" s="13"/>
      <c r="F91" s="13" t="s">
        <v>477</v>
      </c>
    </row>
    <row r="92" spans="1:6" x14ac:dyDescent="0.25">
      <c r="A92" s="38">
        <v>91</v>
      </c>
      <c r="B92" s="19" t="s">
        <v>480</v>
      </c>
      <c r="C92" s="13" t="s">
        <v>481</v>
      </c>
      <c r="D92" s="13" t="s">
        <v>482</v>
      </c>
      <c r="E92" s="13"/>
      <c r="F92" s="13" t="s">
        <v>483</v>
      </c>
    </row>
    <row r="93" spans="1:6" ht="31.5" x14ac:dyDescent="0.25">
      <c r="A93" s="38">
        <v>92</v>
      </c>
      <c r="B93" s="19" t="s">
        <v>484</v>
      </c>
      <c r="C93" s="13" t="s">
        <v>485</v>
      </c>
      <c r="D93" s="13" t="s">
        <v>486</v>
      </c>
      <c r="E93" s="13"/>
      <c r="F93" s="13"/>
    </row>
    <row r="94" spans="1:6" ht="31.5" x14ac:dyDescent="0.25">
      <c r="A94" s="38">
        <v>93</v>
      </c>
      <c r="B94" s="19" t="s">
        <v>484</v>
      </c>
      <c r="C94" s="13" t="s">
        <v>487</v>
      </c>
      <c r="D94" s="13"/>
      <c r="E94" s="13" t="s">
        <v>572</v>
      </c>
      <c r="F94" s="13" t="s">
        <v>570</v>
      </c>
    </row>
    <row r="95" spans="1:6" ht="31.5" x14ac:dyDescent="0.25">
      <c r="A95" s="38">
        <v>94</v>
      </c>
      <c r="B95" s="19" t="s">
        <v>488</v>
      </c>
      <c r="C95" s="13" t="s">
        <v>489</v>
      </c>
      <c r="D95" s="13"/>
      <c r="E95" s="13" t="s">
        <v>572</v>
      </c>
      <c r="F95" s="13" t="s">
        <v>571</v>
      </c>
    </row>
    <row r="96" spans="1:6" x14ac:dyDescent="0.25">
      <c r="A96" s="38">
        <v>95</v>
      </c>
      <c r="B96" s="19" t="s">
        <v>573</v>
      </c>
      <c r="C96" s="13" t="s">
        <v>574</v>
      </c>
      <c r="D96" s="13" t="s">
        <v>575</v>
      </c>
      <c r="E96" s="13"/>
      <c r="F96" s="13" t="s">
        <v>576</v>
      </c>
    </row>
    <row r="97" spans="1:6" x14ac:dyDescent="0.25">
      <c r="A97" s="38">
        <v>96</v>
      </c>
      <c r="B97" s="19" t="s">
        <v>573</v>
      </c>
      <c r="C97" s="13" t="s">
        <v>577</v>
      </c>
      <c r="D97" s="13"/>
      <c r="E97" s="13"/>
      <c r="F97" s="13" t="s">
        <v>576</v>
      </c>
    </row>
    <row r="98" spans="1:6" x14ac:dyDescent="0.25">
      <c r="A98" s="38">
        <v>97</v>
      </c>
      <c r="B98" s="19" t="s">
        <v>573</v>
      </c>
      <c r="C98" s="13" t="s">
        <v>578</v>
      </c>
      <c r="D98" s="13" t="s">
        <v>579</v>
      </c>
      <c r="E98" s="13"/>
      <c r="F98" s="13" t="s">
        <v>576</v>
      </c>
    </row>
    <row r="99" spans="1:6" ht="31.5" x14ac:dyDescent="0.25">
      <c r="A99" s="38">
        <v>98</v>
      </c>
      <c r="B99" s="19" t="s">
        <v>580</v>
      </c>
      <c r="C99" s="13" t="s">
        <v>581</v>
      </c>
      <c r="D99" s="13" t="s">
        <v>582</v>
      </c>
      <c r="E99" s="13"/>
      <c r="F99" s="13" t="s">
        <v>576</v>
      </c>
    </row>
    <row r="100" spans="1:6" ht="31.5" x14ac:dyDescent="0.25">
      <c r="A100" s="38">
        <v>99</v>
      </c>
      <c r="B100" s="19" t="s">
        <v>587</v>
      </c>
      <c r="C100" s="13" t="s">
        <v>586</v>
      </c>
      <c r="D100" s="13" t="s">
        <v>589</v>
      </c>
      <c r="E100" s="13"/>
      <c r="F100" s="13" t="s">
        <v>588</v>
      </c>
    </row>
    <row r="101" spans="1:6" ht="31.5" x14ac:dyDescent="0.25">
      <c r="A101" s="38">
        <v>100</v>
      </c>
      <c r="B101" s="19" t="s">
        <v>591</v>
      </c>
      <c r="C101" s="13" t="s">
        <v>590</v>
      </c>
      <c r="D101" s="13">
        <v>230105935</v>
      </c>
      <c r="E101" s="13"/>
      <c r="F101" s="39" t="s">
        <v>592</v>
      </c>
    </row>
    <row r="102" spans="1:6" ht="31.5" x14ac:dyDescent="0.25">
      <c r="A102" s="38">
        <v>101</v>
      </c>
      <c r="B102" s="19" t="s">
        <v>29</v>
      </c>
      <c r="C102" s="13" t="s">
        <v>30</v>
      </c>
      <c r="D102" s="13" t="s">
        <v>27</v>
      </c>
      <c r="E102" s="13"/>
      <c r="F102" s="13"/>
    </row>
  </sheetData>
  <pageMargins left="0.70866141732283472" right="0.70866141732283472" top="0.74803149606299213" bottom="0.74803149606299213" header="0.31496062992125984" footer="0.31496062992125984"/>
  <pageSetup paperSize="9" scale="9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СИ</vt:lpstr>
      <vt:lpstr>ИО</vt:lpstr>
      <vt:lpstr>ВО</vt:lpstr>
      <vt:lpstr>data</vt:lpstr>
      <vt:lpstr>ВО!Заголовки_для_печати</vt:lpstr>
      <vt:lpstr>ИО!Заголовки_для_печати</vt:lpstr>
      <vt:lpstr>СИ!Заголовки_для_печати</vt:lpstr>
      <vt:lpstr>ИО!Область_печати</vt:lpstr>
      <vt:lpstr>СИ!Область_печати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2014-09-22T06:40:26Z</cp:lastPrinted>
  <dcterms:created xsi:type="dcterms:W3CDTF">2006-09-28T05:33:49Z</dcterms:created>
  <dcterms:modified xsi:type="dcterms:W3CDTF">2025-10-07T08:27:53Z</dcterms:modified>
</cp:coreProperties>
</file>