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Y:\09_Производство\Склад продукции\"/>
    </mc:Choice>
  </mc:AlternateContent>
  <xr:revisionPtr revIDLastSave="0" documentId="13_ncr:1_{91410B79-A769-4086-AD58-5809FD275BB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Микросхемы" sheetId="1" r:id="rId1"/>
    <sheet name="Модули" sheetId="4" r:id="rId2"/>
    <sheet name="ПП" sheetId="5" r:id="rId3"/>
    <sheet name="Склад марк_не марк" sheetId="3" r:id="rId4"/>
    <sheet name="Лист1" sheetId="6" r:id="rId5"/>
    <sheet name="Лист3" sheetId="7" r:id="rId6"/>
    <sheet name="Лист2" sheetId="2" state="hidden" r:id="rId7"/>
  </sheets>
  <definedNames>
    <definedName name="_xlnm._FilterDatabase" localSheetId="0" hidden="1">Микросхемы!$A$1:$N$482</definedName>
    <definedName name="_xlnm._FilterDatabase" localSheetId="1" hidden="1">Модули!$A$1:$O$74</definedName>
    <definedName name="_xlnm._FilterDatabase" localSheetId="2" hidden="1">ПП!$A$1:$O$71</definedName>
    <definedName name="_xlnm._FilterDatabase" localSheetId="3" hidden="1">'Склад марк_не марк'!$A$1:$H$79</definedName>
    <definedName name="_xlnm.Print_Area" localSheetId="3">'Склад марк_не марк'!$A$1:$I$83</definedName>
  </definedNames>
  <calcPr calcId="181029"/>
</workbook>
</file>

<file path=xl/calcChain.xml><?xml version="1.0" encoding="utf-8"?>
<calcChain xmlns="http://schemas.openxmlformats.org/spreadsheetml/2006/main">
  <c r="J55" i="4" l="1"/>
  <c r="J56" i="4"/>
  <c r="J57" i="4"/>
  <c r="J58" i="4"/>
  <c r="J27" i="4"/>
  <c r="I142" i="1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  <c r="J1" i="7"/>
  <c r="I13" i="6"/>
  <c r="I12" i="6"/>
  <c r="I11" i="6"/>
  <c r="I10" i="6"/>
  <c r="I9" i="6"/>
  <c r="I8" i="6"/>
  <c r="I7" i="6"/>
  <c r="I6" i="6"/>
  <c r="I5" i="6"/>
  <c r="I4" i="6"/>
  <c r="I3" i="6"/>
  <c r="I2" i="6"/>
  <c r="I1" i="6"/>
  <c r="I152" i="1"/>
  <c r="I146" i="1"/>
  <c r="I109" i="1"/>
  <c r="I102" i="1"/>
  <c r="I71" i="1"/>
  <c r="I79" i="1"/>
  <c r="I68" i="1"/>
  <c r="I74" i="1"/>
  <c r="I94" i="1"/>
  <c r="J51" i="4"/>
  <c r="J58" i="5"/>
  <c r="J57" i="5"/>
  <c r="J56" i="5"/>
  <c r="J55" i="5"/>
  <c r="I59" i="1"/>
  <c r="I78" i="1"/>
  <c r="I91" i="1"/>
  <c r="I106" i="1"/>
  <c r="I96" i="1" l="1"/>
  <c r="J10" i="5"/>
  <c r="J54" i="4"/>
  <c r="I119" i="1"/>
  <c r="I129" i="1"/>
  <c r="I82" i="1"/>
  <c r="J47" i="5"/>
  <c r="J33" i="5"/>
  <c r="J54" i="5"/>
  <c r="I115" i="1"/>
  <c r="J53" i="4"/>
  <c r="I97" i="1" l="1"/>
  <c r="J52" i="4"/>
  <c r="J49" i="4"/>
  <c r="J50" i="4"/>
  <c r="J48" i="4"/>
  <c r="I48" i="1" l="1"/>
  <c r="J47" i="4" l="1"/>
  <c r="J46" i="4"/>
  <c r="J9" i="5"/>
  <c r="J8" i="5"/>
  <c r="J45" i="4"/>
  <c r="J44" i="4"/>
  <c r="I127" i="1"/>
  <c r="I55" i="1"/>
  <c r="I50" i="1"/>
  <c r="I99" i="1" l="1"/>
  <c r="J43" i="4"/>
  <c r="I141" i="1"/>
  <c r="I116" i="1"/>
  <c r="I128" i="1"/>
  <c r="I126" i="1"/>
  <c r="J40" i="4"/>
  <c r="J41" i="4"/>
  <c r="J42" i="4"/>
  <c r="J39" i="4"/>
  <c r="J38" i="4"/>
  <c r="I41" i="1"/>
  <c r="I120" i="1"/>
  <c r="I118" i="1"/>
  <c r="I169" i="1"/>
  <c r="J35" i="5"/>
  <c r="J34" i="5"/>
  <c r="F28" i="3"/>
  <c r="J52" i="5"/>
  <c r="J51" i="5"/>
  <c r="J50" i="5"/>
  <c r="J49" i="5"/>
  <c r="J48" i="5"/>
  <c r="J46" i="5"/>
  <c r="J45" i="5"/>
  <c r="J44" i="5"/>
  <c r="J43" i="5"/>
  <c r="J42" i="5"/>
  <c r="J41" i="5"/>
  <c r="J40" i="5"/>
  <c r="J39" i="5"/>
  <c r="J38" i="5"/>
  <c r="J37" i="5"/>
  <c r="J36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7" i="5"/>
  <c r="J6" i="5"/>
  <c r="J5" i="5"/>
  <c r="J4" i="5"/>
  <c r="J3" i="5"/>
  <c r="J2" i="5"/>
  <c r="J37" i="4"/>
  <c r="J36" i="4"/>
  <c r="J35" i="4"/>
  <c r="J34" i="4"/>
  <c r="J33" i="4"/>
  <c r="J32" i="4"/>
  <c r="J31" i="4"/>
  <c r="J30" i="4"/>
  <c r="J29" i="4"/>
  <c r="J28" i="4"/>
  <c r="J26" i="4"/>
  <c r="J25" i="4"/>
  <c r="G24" i="4"/>
  <c r="J24" i="4" s="1"/>
  <c r="G23" i="4"/>
  <c r="J23" i="4" s="1"/>
  <c r="G22" i="4"/>
  <c r="J22" i="4" s="1"/>
  <c r="J21" i="4"/>
  <c r="J20" i="4"/>
  <c r="J19" i="4"/>
  <c r="J18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I35" i="1" l="1"/>
  <c r="I166" i="1" l="1"/>
  <c r="I144" i="1"/>
  <c r="F8" i="3"/>
  <c r="I16" i="1"/>
  <c r="I32" i="1"/>
  <c r="I76" i="1" l="1"/>
  <c r="I168" i="1"/>
  <c r="I167" i="1"/>
  <c r="I165" i="1" l="1"/>
  <c r="I164" i="1"/>
  <c r="I108" i="1"/>
  <c r="I163" i="1"/>
  <c r="I162" i="1" l="1"/>
  <c r="I161" i="1"/>
  <c r="I160" i="1" l="1"/>
  <c r="I159" i="1"/>
  <c r="I158" i="1"/>
  <c r="F7" i="3" l="1"/>
  <c r="I77" i="1" l="1"/>
  <c r="I157" i="1" l="1"/>
  <c r="I156" i="1"/>
  <c r="I34" i="1"/>
  <c r="I60" i="1"/>
  <c r="I63" i="1"/>
  <c r="I81" i="1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6" i="3"/>
  <c r="F5" i="3"/>
  <c r="F4" i="3"/>
  <c r="F3" i="3"/>
  <c r="I155" i="1"/>
  <c r="I154" i="1"/>
  <c r="I153" i="1"/>
  <c r="I151" i="1"/>
  <c r="I150" i="1"/>
  <c r="I149" i="1"/>
  <c r="I148" i="1"/>
  <c r="I147" i="1"/>
  <c r="I145" i="1"/>
  <c r="I143" i="1"/>
  <c r="I140" i="1"/>
  <c r="I139" i="1"/>
  <c r="I138" i="1"/>
  <c r="I137" i="1"/>
  <c r="I136" i="1"/>
  <c r="I135" i="1"/>
  <c r="I134" i="1"/>
  <c r="I133" i="1"/>
  <c r="I132" i="1"/>
  <c r="I131" i="1"/>
  <c r="I130" i="1"/>
  <c r="I125" i="1"/>
  <c r="I124" i="1"/>
  <c r="I123" i="1"/>
  <c r="I122" i="1"/>
  <c r="I121" i="1"/>
  <c r="I117" i="1"/>
  <c r="I114" i="1"/>
  <c r="I113" i="1"/>
  <c r="I112" i="1"/>
  <c r="I111" i="1"/>
  <c r="I110" i="1"/>
  <c r="I107" i="1"/>
  <c r="I105" i="1"/>
  <c r="I104" i="1"/>
  <c r="I103" i="1"/>
  <c r="I101" i="1"/>
  <c r="I100" i="1"/>
  <c r="I98" i="1"/>
  <c r="I95" i="1"/>
  <c r="I93" i="1"/>
  <c r="I92" i="1"/>
  <c r="I90" i="1"/>
  <c r="I89" i="1"/>
  <c r="I88" i="1"/>
  <c r="I87" i="1"/>
  <c r="I86" i="1"/>
  <c r="I85" i="1"/>
  <c r="I84" i="1"/>
  <c r="I83" i="1"/>
  <c r="I80" i="1"/>
  <c r="I75" i="1"/>
  <c r="I73" i="1"/>
  <c r="I72" i="1"/>
  <c r="I70" i="1"/>
  <c r="I69" i="1"/>
  <c r="I67" i="1"/>
  <c r="I66" i="1"/>
  <c r="I65" i="1"/>
  <c r="I64" i="1"/>
  <c r="I62" i="1"/>
  <c r="I61" i="1"/>
  <c r="I58" i="1"/>
  <c r="I57" i="1"/>
  <c r="I56" i="1"/>
  <c r="I54" i="1"/>
  <c r="I53" i="1"/>
  <c r="I52" i="1"/>
  <c r="I51" i="1"/>
  <c r="I49" i="1"/>
  <c r="I47" i="1"/>
  <c r="I46" i="1"/>
  <c r="I45" i="1"/>
  <c r="I44" i="1"/>
  <c r="I43" i="1"/>
  <c r="I42" i="1"/>
  <c r="I40" i="1"/>
  <c r="I39" i="1"/>
  <c r="I38" i="1"/>
  <c r="I37" i="1"/>
  <c r="I36" i="1"/>
  <c r="I33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5" authorId="0" shapeId="0" xr:uid="{00000000-0006-0000-0000-000001000000}">
      <text>
        <r>
          <rPr>
            <sz val="9"/>
            <rFont val="Tahoma"/>
            <family val="2"/>
            <charset val="204"/>
          </rPr>
          <t>1 шт. работает, но сломан один из неиспользуемых выводов.
1 шт. работает, но есть генерация.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5" authorId="0" shapeId="0" xr:uid="{9E1B21EA-9A79-49D1-889A-97FB5A2A9B6C}">
      <text>
        <r>
          <rPr>
            <sz val="9"/>
            <rFont val="Tahoma"/>
            <family val="2"/>
            <charset val="204"/>
          </rPr>
          <t>1 шт. работает, но сломан один из неиспользуемых выводов.
1 шт. работает, но есть генерация.</t>
        </r>
      </text>
    </comment>
  </commentList>
</comments>
</file>

<file path=xl/sharedStrings.xml><?xml version="1.0" encoding="utf-8"?>
<sst xmlns="http://schemas.openxmlformats.org/spreadsheetml/2006/main" count="3607" uniqueCount="745">
  <si>
    <t>Наименование изделия</t>
  </si>
  <si>
    <t>Кристалл</t>
  </si>
  <si>
    <t>Корпус</t>
  </si>
  <si>
    <t>Дата прихода</t>
  </si>
  <si>
    <t>Приход, шт.</t>
  </si>
  <si>
    <t>Брак</t>
  </si>
  <si>
    <t>Усл. годные</t>
  </si>
  <si>
    <t>Итого на складе, шт.</t>
  </si>
  <si>
    <t>Дата расхода</t>
  </si>
  <si>
    <t>Расход, шт.</t>
  </si>
  <si>
    <t>Кому передано</t>
  </si>
  <si>
    <t>Цель</t>
  </si>
  <si>
    <t>Примечание</t>
  </si>
  <si>
    <t>41/1</t>
  </si>
  <si>
    <t>Микросхема К1324ПЦ4У</t>
  </si>
  <si>
    <t>ТЛВШ.757644.020 (XB06ML-030P (X1.030.0))</t>
  </si>
  <si>
    <t>5140.8-АНЗ</t>
  </si>
  <si>
    <t>Микросхема К1324ПЦ5У</t>
  </si>
  <si>
    <t>ТЛВШ.757645.001 (I0.094.0)</t>
  </si>
  <si>
    <t>43/1</t>
  </si>
  <si>
    <t>Микросхема К1324ПП6У</t>
  </si>
  <si>
    <t>ТЛВШ.757646.014 (W0.087.3)</t>
  </si>
  <si>
    <t>43/2</t>
  </si>
  <si>
    <t>44/1</t>
  </si>
  <si>
    <t>Микросхема К1324ПП7У</t>
  </si>
  <si>
    <t>ТЛВШ.757646.016 (W0.106.2)</t>
  </si>
  <si>
    <t>Микросхема К1324ПФ1У</t>
  </si>
  <si>
    <t>ТЛВШ.757646.046 (W1.006.5)</t>
  </si>
  <si>
    <t>5159.24-1НЗ К</t>
  </si>
  <si>
    <t>Микросхема К1324ПФ3У</t>
  </si>
  <si>
    <t>ТЛВШ.757646.048 (W1.007.5)</t>
  </si>
  <si>
    <t>5159.24-1Н3</t>
  </si>
  <si>
    <t>58/1</t>
  </si>
  <si>
    <t>Микросхема К1324УВ9У</t>
  </si>
  <si>
    <t>ТЛВШ.757646.086 (W0.017.3)</t>
  </si>
  <si>
    <t>б/н</t>
  </si>
  <si>
    <t>ТЛВШ.757646.003 (W0.017.0)</t>
  </si>
  <si>
    <t>Микросхема К1324УВ7У</t>
  </si>
  <si>
    <t>ТЛВШ.757646.084 (W0.016.3)</t>
  </si>
  <si>
    <t>47/2</t>
  </si>
  <si>
    <t>47/3</t>
  </si>
  <si>
    <t>Микросхема К1324МП2У</t>
  </si>
  <si>
    <t>ТЛВШ.757645.033 (I0.098.0)</t>
  </si>
  <si>
    <t>5130.16-АНЗ</t>
  </si>
  <si>
    <t>Микросхема К1324ХА1У</t>
  </si>
  <si>
    <t>ТЛВШ.757645.010 (I0.142.2)</t>
  </si>
  <si>
    <t>Микросхема К1324УВ3У</t>
  </si>
  <si>
    <t>ТЛВШ.757645.021 (I0.172.0)</t>
  </si>
  <si>
    <t>Микросхема К1324ПС3У</t>
  </si>
  <si>
    <t>ТЛВШ.757645.022 (I0.127.0)</t>
  </si>
  <si>
    <t>Микросхема К1324ДП1У</t>
  </si>
  <si>
    <t>ТЛВШ.757645.016 (I0.068.1)</t>
  </si>
  <si>
    <t>МК 5167.20-1.01</t>
  </si>
  <si>
    <t>без крышек</t>
  </si>
  <si>
    <t>Микросхема К1324ДП2У</t>
  </si>
  <si>
    <t>ТЛВШ.757645.017 (I0.069.1)</t>
  </si>
  <si>
    <t>Микросхема К1324ДП3У</t>
  </si>
  <si>
    <t>ТЛВШ.757645.018 (I0.070.1)</t>
  </si>
  <si>
    <t>Микросхема К1324ПМ2У</t>
  </si>
  <si>
    <t>ТЛВШ.757646.030 (W1.048.3)</t>
  </si>
  <si>
    <t>МК 5169.32 - 1</t>
  </si>
  <si>
    <t xml:space="preserve">МК 5130.16-АНЗ </t>
  </si>
  <si>
    <t>Микросхема К1324МП3У</t>
  </si>
  <si>
    <t>ТЛВШ.757645.012 (I0.075.1)</t>
  </si>
  <si>
    <t>Микросхема К1324МП4У</t>
  </si>
  <si>
    <t>ТЛВШ.757645.013 (I0.076.1)</t>
  </si>
  <si>
    <t>Микросхема К1324МП5У</t>
  </si>
  <si>
    <t>ТЛВШ.757645.012 (I0.077.1)</t>
  </si>
  <si>
    <t>Микросхема К1324УВ1У</t>
  </si>
  <si>
    <t>ТЛВШ.757644.006 (HJB312)</t>
  </si>
  <si>
    <t>Микросхема К1324ПМ1У</t>
  </si>
  <si>
    <t>ТЛВШ.757646.029 (W1.039.5)</t>
  </si>
  <si>
    <t xml:space="preserve">5159.24 – 1 НЗ </t>
  </si>
  <si>
    <t>Микросхема К1324ПС8У</t>
  </si>
  <si>
    <t>Модуль iPA-64-F (IPA0024-F)</t>
  </si>
  <si>
    <t>ТЛВШ.757645.016 (W2.086.1)</t>
  </si>
  <si>
    <t>1 шт. работает, но сломан один из неиспользуемых выводов.
1 шт. работает, но есть генерация.</t>
  </si>
  <si>
    <t>ТЛВШ.757644.003 (HJB 664)</t>
  </si>
  <si>
    <t>ТЛВШ.757644.008 (HJB569)</t>
  </si>
  <si>
    <t>ТЛВШ.757646.001 (W0.016.0)</t>
  </si>
  <si>
    <t>Микросхема К1324ПЦ1АУ</t>
  </si>
  <si>
    <t>ТЛВШ.757645.029 (I0.183.0)</t>
  </si>
  <si>
    <t>Микросхема К1324УВ2У</t>
  </si>
  <si>
    <t>ТЛВШ.757644.007 (HJB315)</t>
  </si>
  <si>
    <t>Микросхема К1324УВ8У</t>
  </si>
  <si>
    <t>ТЛВШ.757646.085 (W0.022.3)</t>
  </si>
  <si>
    <t>ТЛВШ.757644.020 ((X1.030.0)</t>
  </si>
  <si>
    <t>Микросхема К1324ПС1У</t>
  </si>
  <si>
    <t>ТЛВШ.757644.001 (HJB677)</t>
  </si>
  <si>
    <t>Модуль iVCO-224-6/8</t>
  </si>
  <si>
    <t>ТЛВШ.757631.003 (?), ТЛВШ.757646.027 (?), 
ТЛВШ.757646.130 (?), ТЛВШ.757646.135 (?),</t>
  </si>
  <si>
    <t>Модуль iVCO-225-6/8</t>
  </si>
  <si>
    <t>ТЛВШ.757631.003 (?), ТЛВШ.757646.027 (?), 
ТЛВШ.757646.131 (?), ТЛВШ.757646.136 (?),</t>
  </si>
  <si>
    <t>Модуль iVCO-226-6/8</t>
  </si>
  <si>
    <t>ТЛВШ.757631.003 (?), ТЛВШ.757646.027 (?), 
ТЛВШ.757646.132 (?), ТЛВШ.757646.137 (?),</t>
  </si>
  <si>
    <t>Модуль iVCO-228-6/8</t>
  </si>
  <si>
    <t>ТЛВШ.757631.003 (?), ТЛВШ.757646.027 (?), 
ТЛВШ.757646.134 (?), ТЛВШ.757646.139 (?),</t>
  </si>
  <si>
    <t>Микросхема К1324ПЦ1У (ОС)</t>
  </si>
  <si>
    <t>ТЛВШ.757644.012 (HJV615)</t>
  </si>
  <si>
    <t>Микросхема К1324ПЦ1У (ВП)</t>
  </si>
  <si>
    <t>Микросхема К1324УВ3У (ОС)</t>
  </si>
  <si>
    <t>Микросхема К1324УВ3У (ВП)</t>
  </si>
  <si>
    <t>Микросхема К1324УВ11У</t>
  </si>
  <si>
    <t>ТЛВШ.757646.024</t>
  </si>
  <si>
    <t>ТЛВШ.301176.006</t>
  </si>
  <si>
    <t>Микросхема К1324УВ12У</t>
  </si>
  <si>
    <t>ТЛВШ.757646.025</t>
  </si>
  <si>
    <t>Микросхема К1324УВ13У</t>
  </si>
  <si>
    <t>ТЛВШ.757646.026</t>
  </si>
  <si>
    <t>Микросхема К1324УВ14У</t>
  </si>
  <si>
    <t>ТЛВШ.757646.027</t>
  </si>
  <si>
    <t>Микросхема К1324УВ15У</t>
  </si>
  <si>
    <t>ТЛВШ.757646.028</t>
  </si>
  <si>
    <t>ТЛВШ.301176.006-01</t>
  </si>
  <si>
    <t>ТЛВШ.757646.025 (W1.040.2)</t>
  </si>
  <si>
    <t>ТЛВШ.757646.026 (W1.042.2)</t>
  </si>
  <si>
    <t>ТЛВШ.757646.028 (W0.052.3)</t>
  </si>
  <si>
    <t>Микросхема К1324ГС12У1</t>
  </si>
  <si>
    <t>(W3.093.0)</t>
  </si>
  <si>
    <t>Корпус 5140.8-АНЗ партия 2885</t>
  </si>
  <si>
    <t>Микросхема К1324ГС16У1</t>
  </si>
  <si>
    <t>(W3.101.1)</t>
  </si>
  <si>
    <t>ТЛВШ.757644.020 (X1.030.0)</t>
  </si>
  <si>
    <t>Отладочная плата ПП-1324УВ14У1</t>
  </si>
  <si>
    <t>ПП-1324УВ14У1 - 5 шт. + 5 шт. К1324УВ14У1 у Володиной</t>
  </si>
  <si>
    <t>Микросхема К1324ПП4У</t>
  </si>
  <si>
    <t>ТЛВШ.757646.005 (W0.053.0)</t>
  </si>
  <si>
    <t>Микросхема К1324ПЦ3У</t>
  </si>
  <si>
    <t>ТЛВШ.757644.014 (HJV432)</t>
  </si>
  <si>
    <t>ТЛВШ.757646.015 (W0.087.2)</t>
  </si>
  <si>
    <t>ТЛВШ.757646.017 (W0.106.1)</t>
  </si>
  <si>
    <t>Микросхема К1324УУ1У</t>
  </si>
  <si>
    <t>Партия 568 (Производство НПП)</t>
  </si>
  <si>
    <t>Микросхема К1324УВ6У</t>
  </si>
  <si>
    <t>ТЛВШ.757644.015 (HJB314)</t>
  </si>
  <si>
    <t>Микросхема К1324ПП3У</t>
  </si>
  <si>
    <t>ТЛВШ.757644.011 (HJB680)</t>
  </si>
  <si>
    <t>Без крышек</t>
  </si>
  <si>
    <t>Микросхема К1348ЕТ1У</t>
  </si>
  <si>
    <t>ТЛВШ.757644.025 (HJV 434)</t>
  </si>
  <si>
    <t>129/2</t>
  </si>
  <si>
    <t>ТЛВШ.757644.005 (HJB656)</t>
  </si>
  <si>
    <t>Микросхема К1324ПС10У</t>
  </si>
  <si>
    <t>ТЛВШ.757646.009 (W0.081.1)</t>
  </si>
  <si>
    <t>ТЛВШ.757646.006 (W0.056.0)</t>
  </si>
  <si>
    <t>Микросхема К1324ПЦ1У</t>
  </si>
  <si>
    <t>ТЛВШ.757644.012 (HJV430)</t>
  </si>
  <si>
    <t>127/1</t>
  </si>
  <si>
    <t>б/н ИПК</t>
  </si>
  <si>
    <t>ТЛВШ.757646.006 (W0.053.0)</t>
  </si>
  <si>
    <t>Микросхема К1324ПС4У</t>
  </si>
  <si>
    <t>(HJB 657)</t>
  </si>
  <si>
    <t>ТЛВШ.757644.005 (HJB677)</t>
  </si>
  <si>
    <t>Микросхема К1324ПЦ7У</t>
  </si>
  <si>
    <t>Микросхема К1324ПС5У</t>
  </si>
  <si>
    <t>ТЛВШ.757644.005 (HJB 656)</t>
  </si>
  <si>
    <r>
      <rPr>
        <sz val="11"/>
        <color theme="1"/>
        <rFont val="Times New Roman"/>
        <family val="1"/>
        <charset val="204"/>
      </rPr>
      <t>ТЛВШ.757644.008 (HJB569)</t>
    </r>
  </si>
  <si>
    <t>129/1</t>
  </si>
  <si>
    <t>Микросхема К1324ПЛ2У</t>
  </si>
  <si>
    <t>??? (I0.059.3)</t>
  </si>
  <si>
    <t>35/1</t>
  </si>
  <si>
    <t>Микросхема К1324ПП8У</t>
  </si>
  <si>
    <t>??? (W0.107.0)</t>
  </si>
  <si>
    <t>36/1</t>
  </si>
  <si>
    <t>Микросхема К1324ПП8БУ</t>
  </si>
  <si>
    <t>??? (W0.107.1)</t>
  </si>
  <si>
    <t>164/1</t>
  </si>
  <si>
    <t>ТЛВШ.301176-02</t>
  </si>
  <si>
    <t>ТЛВШ.757644.009 (HJB555)</t>
  </si>
  <si>
    <t>157/1</t>
  </si>
  <si>
    <t>ТЛВШ.757646.025 (W1.040.1)</t>
  </si>
  <si>
    <t>ТЛВШ.757646.024 (W1.043.2)</t>
  </si>
  <si>
    <t>164/2</t>
  </si>
  <si>
    <t>ТЛВШ.757646.026 (W1.042.1)</t>
  </si>
  <si>
    <t>ТЛВШ.757646.084 (W0.016.0)</t>
  </si>
  <si>
    <t>ТЛВШ.757646.086 (W0.017.0)</t>
  </si>
  <si>
    <t>ТЛВШ.757646.027 (W0.022.6)</t>
  </si>
  <si>
    <t>ТЛВШ.757646.029-02</t>
  </si>
  <si>
    <t>МК 5159.24-1</t>
  </si>
  <si>
    <t>ТЛВШ.757644.001</t>
  </si>
  <si>
    <t>ТЛВШ.757644.014 (HJV617)</t>
  </si>
  <si>
    <t>Транзистор ТЛВШ.422151.005</t>
  </si>
  <si>
    <t>ТЛВШ.422151.005 (W0.136.1)</t>
  </si>
  <si>
    <t>КТ-98</t>
  </si>
  <si>
    <t>214/1</t>
  </si>
  <si>
    <t>205/1</t>
  </si>
  <si>
    <t>5169.32 - 3</t>
  </si>
  <si>
    <t>233 (178)</t>
  </si>
  <si>
    <t>Микросхема К1324УП1У</t>
  </si>
  <si>
    <t>ТЛВШ.757646.062 (W1.050.2)</t>
  </si>
  <si>
    <t>216/1</t>
  </si>
  <si>
    <t>ТЛВШ.757646.046 (W1.006.4)</t>
  </si>
  <si>
    <t>5159.24-1НЗ</t>
  </si>
  <si>
    <t>Микросхема К1324ПП7БУ</t>
  </si>
  <si>
    <t>Микросхема К1324ПП5У</t>
  </si>
  <si>
    <t>РАСХОД</t>
  </si>
  <si>
    <t>Жмылеву А.В.</t>
  </si>
  <si>
    <t>Аксион</t>
  </si>
  <si>
    <t>??? (W0.082.1)</t>
  </si>
  <si>
    <t>Отладочные платы</t>
  </si>
  <si>
    <t>Стенд для демоплат</t>
  </si>
  <si>
    <t>ЦАП</t>
  </si>
  <si>
    <t>Продажа</t>
  </si>
  <si>
    <t>Яныкина М.М.</t>
  </si>
  <si>
    <t>Для Вагина А.В.</t>
  </si>
  <si>
    <t>Коржовой Н.А.</t>
  </si>
  <si>
    <t>Отгрузка</t>
  </si>
  <si>
    <t>Алмаз-Фазатрон, ТЕХНОЯКС</t>
  </si>
  <si>
    <t>+ к отладочной плате</t>
  </si>
  <si>
    <t>Володиной Е.</t>
  </si>
  <si>
    <t>Будякову П.С.</t>
  </si>
  <si>
    <t>СВЧ КИТ</t>
  </si>
  <si>
    <t>Гаврилову С.П.</t>
  </si>
  <si>
    <t>Проба авт.измерений</t>
  </si>
  <si>
    <t>ИРЗ-Связь</t>
  </si>
  <si>
    <t>MW-DAT01-0605</t>
  </si>
  <si>
    <t>ПП-К1348ЕТ1У</t>
  </si>
  <si>
    <t>ПАО "НПО "Алмаз"</t>
  </si>
  <si>
    <t xml:space="preserve">Конструктор-ПС </t>
  </si>
  <si>
    <t>АО "ЯРЗ"</t>
  </si>
  <si>
    <t>Иследования</t>
  </si>
  <si>
    <t>Микро Вис</t>
  </si>
  <si>
    <t>МНИИРС</t>
  </si>
  <si>
    <t>Терехину В.</t>
  </si>
  <si>
    <t>Салют-27</t>
  </si>
  <si>
    <t>Рекламация</t>
  </si>
  <si>
    <t>ООО "Электроник партс"</t>
  </si>
  <si>
    <t>ООО "ИРЗ-Связь"</t>
  </si>
  <si>
    <t>Концерн "Созвездие"</t>
  </si>
  <si>
    <t>Алмаз</t>
  </si>
  <si>
    <t>Сигнал</t>
  </si>
  <si>
    <t>АО "НПП Полет"</t>
  </si>
  <si>
    <t>НПО НИИИП-НЗиК</t>
  </si>
  <si>
    <t>Завод Электросигнал</t>
  </si>
  <si>
    <t>Измерения для составления этикетки (с возвратом)</t>
  </si>
  <si>
    <t>Цепкову Д.</t>
  </si>
  <si>
    <t>Задача 10169</t>
  </si>
  <si>
    <t>Для исследования корпусов</t>
  </si>
  <si>
    <t>АО "РИФ"</t>
  </si>
  <si>
    <t>АО "СКТБ "Курганприбор"</t>
  </si>
  <si>
    <t>Том</t>
  </si>
  <si>
    <t>Тип изделия</t>
  </si>
  <si>
    <t>Серия</t>
  </si>
  <si>
    <t>Кол-во маркир.</t>
  </si>
  <si>
    <t>Дата    изготовления</t>
  </si>
  <si>
    <t>Примечание (не маркир.)</t>
  </si>
  <si>
    <t>Микросхемы маркированны ИПК из 19 комнаты в 45к</t>
  </si>
  <si>
    <t>Микросхема</t>
  </si>
  <si>
    <t>К1324МП2У</t>
  </si>
  <si>
    <t>22 50</t>
  </si>
  <si>
    <t>К1324ПЛ1У</t>
  </si>
  <si>
    <t>-</t>
  </si>
  <si>
    <t>4</t>
  </si>
  <si>
    <t>К1324ПМ1У</t>
  </si>
  <si>
    <t>22 42</t>
  </si>
  <si>
    <t>0</t>
  </si>
  <si>
    <t>23 03</t>
  </si>
  <si>
    <t>К1324ПМ2У</t>
  </si>
  <si>
    <t>К1324ПП1У</t>
  </si>
  <si>
    <t>22 46</t>
  </si>
  <si>
    <t>К1324ПП3У</t>
  </si>
  <si>
    <t>22 40</t>
  </si>
  <si>
    <t>К1324ПП4У</t>
  </si>
  <si>
    <t>22 52</t>
  </si>
  <si>
    <t>К1324ПП6У</t>
  </si>
  <si>
    <t>22 23</t>
  </si>
  <si>
    <t>К1324ПП7У</t>
  </si>
  <si>
    <t>К1324ПП8БУ</t>
  </si>
  <si>
    <t>22 37</t>
  </si>
  <si>
    <t>К1324ПП8У</t>
  </si>
  <si>
    <t>К1324ПС1У</t>
  </si>
  <si>
    <t>К1324ПС2У</t>
  </si>
  <si>
    <t>К1324ПС3У</t>
  </si>
  <si>
    <t>К1324ПС5У</t>
  </si>
  <si>
    <t>22 47</t>
  </si>
  <si>
    <t>К1324ПС9У</t>
  </si>
  <si>
    <t>К1324ПЦ2АУ</t>
  </si>
  <si>
    <t>К1324ПЦ3АУ</t>
  </si>
  <si>
    <t>К1324ПЦ4У</t>
  </si>
  <si>
    <t>К1324ПЦ5У</t>
  </si>
  <si>
    <t>К1324ПЦ6У</t>
  </si>
  <si>
    <t>К1324ПЦ7У</t>
  </si>
  <si>
    <t>К1324ПЦ8У</t>
  </si>
  <si>
    <t>К1324УВ1У</t>
  </si>
  <si>
    <t>К1324УВ2У</t>
  </si>
  <si>
    <t>24 05</t>
  </si>
  <si>
    <t>К1324УВ6У</t>
  </si>
  <si>
    <t>К1324УВ7У</t>
  </si>
  <si>
    <t>К1324УВ7У1</t>
  </si>
  <si>
    <t xml:space="preserve">К1324УВ8У1 </t>
  </si>
  <si>
    <t>1</t>
  </si>
  <si>
    <t>К1324УВ9У</t>
  </si>
  <si>
    <t>23 06</t>
  </si>
  <si>
    <t>К1324УВ9У1</t>
  </si>
  <si>
    <t>К1324УВ10У</t>
  </si>
  <si>
    <t>24  09</t>
  </si>
  <si>
    <t>К1324УВ11У</t>
  </si>
  <si>
    <t>К1324УВ11У1</t>
  </si>
  <si>
    <t>К1324УВ12У</t>
  </si>
  <si>
    <t>22 51</t>
  </si>
  <si>
    <t>К1324УВ12У1</t>
  </si>
  <si>
    <t>К1324УВ13У1</t>
  </si>
  <si>
    <t>18/22</t>
  </si>
  <si>
    <t>К1324УП1У</t>
  </si>
  <si>
    <t>К1324УФ1У</t>
  </si>
  <si>
    <t>22 45</t>
  </si>
  <si>
    <t>К1324УВ14У1</t>
  </si>
  <si>
    <t>Трансформатор</t>
  </si>
  <si>
    <t>АТ6146А91</t>
  </si>
  <si>
    <t>АТ6145А91</t>
  </si>
  <si>
    <t>К1324ХА1У</t>
  </si>
  <si>
    <t>К1348ЕТ1У</t>
  </si>
  <si>
    <t>отдельный пакет</t>
  </si>
  <si>
    <t>К1324УУ1У</t>
  </si>
  <si>
    <t>23 07</t>
  </si>
  <si>
    <t>К1324ПП2У</t>
  </si>
  <si>
    <t>23 04</t>
  </si>
  <si>
    <t>К1324МП1У</t>
  </si>
  <si>
    <t>К1324ПЦ1У</t>
  </si>
  <si>
    <t>23 05</t>
  </si>
  <si>
    <t>К1324ПЛ2У</t>
  </si>
  <si>
    <t>К1324ПЦ3У</t>
  </si>
  <si>
    <t xml:space="preserve">К1324УВ3У </t>
  </si>
  <si>
    <t>23 02</t>
  </si>
  <si>
    <t>К1324ПП5У</t>
  </si>
  <si>
    <t>К1324ПЦ2У</t>
  </si>
  <si>
    <t>Микросхемы 4 отд в 45к</t>
  </si>
  <si>
    <t>К1432УД2АР1</t>
  </si>
  <si>
    <t>18.22</t>
  </si>
  <si>
    <t>К1432УД6Р1</t>
  </si>
  <si>
    <t>18.36</t>
  </si>
  <si>
    <t>не официально</t>
  </si>
  <si>
    <t>К1432УД22АР1</t>
  </si>
  <si>
    <t>20.41</t>
  </si>
  <si>
    <t>1432УД11У</t>
  </si>
  <si>
    <t>21 05</t>
  </si>
  <si>
    <t>К1432УД1АР1</t>
  </si>
  <si>
    <t>70 шт не официально</t>
  </si>
  <si>
    <t>1312АП2Т</t>
  </si>
  <si>
    <t>1481СА3Т</t>
  </si>
  <si>
    <t>К1432УД18Р1</t>
  </si>
  <si>
    <t>21 07</t>
  </si>
  <si>
    <t>19 27</t>
  </si>
  <si>
    <t>1313УФ1БУ</t>
  </si>
  <si>
    <t>22 15</t>
  </si>
  <si>
    <t>21 10</t>
  </si>
  <si>
    <t>19 11</t>
  </si>
  <si>
    <t>К1432УВ3Р1</t>
  </si>
  <si>
    <t>18 28</t>
  </si>
  <si>
    <t>К1481СА5Р</t>
  </si>
  <si>
    <t>22 16</t>
  </si>
  <si>
    <t xml:space="preserve"> </t>
  </si>
  <si>
    <t>Сопр. лист</t>
  </si>
  <si>
    <t>Исследования</t>
  </si>
  <si>
    <t>Микросхема К1324ПП6БУ</t>
  </si>
  <si>
    <t>R093W2-2</t>
  </si>
  <si>
    <t>CQFN24</t>
  </si>
  <si>
    <t>Модуль ISW-191-M</t>
  </si>
  <si>
    <t>2 шт. - 22 38
17 шт. - 22 50</t>
  </si>
  <si>
    <t>22 38</t>
  </si>
  <si>
    <t>icv</t>
  </si>
  <si>
    <t>Ворониной А.</t>
  </si>
  <si>
    <t>50</t>
  </si>
  <si>
    <t>13</t>
  </si>
  <si>
    <t>406/24</t>
  </si>
  <si>
    <t>Микросхема К1324УВ27У</t>
  </si>
  <si>
    <t>W0.104.4</t>
  </si>
  <si>
    <t>MB-32-5050-01</t>
  </si>
  <si>
    <t>206/1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</si>
  <si>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Сопр. лист</t>
  </si>
  <si>
    <t>задача 11021</t>
  </si>
  <si>
    <t>К1324УВ27АУ</t>
  </si>
  <si>
    <t>маркировка 25_01</t>
  </si>
  <si>
    <t>W0.017.6</t>
  </si>
  <si>
    <t>для IMIX</t>
  </si>
  <si>
    <t>W1.043.1</t>
  </si>
  <si>
    <t>02.2022</t>
  </si>
  <si>
    <t>02.2023</t>
  </si>
  <si>
    <t>w2.088.0</t>
  </si>
  <si>
    <t>Без маркировки</t>
  </si>
  <si>
    <t>195/24</t>
  </si>
  <si>
    <t>ПМ2У</t>
  </si>
  <si>
    <t>WN1048V4</t>
  </si>
  <si>
    <t>QFN32</t>
  </si>
  <si>
    <t>06.06.2024</t>
  </si>
  <si>
    <t>10шт с маркировкой 24_06, 1 шт без нее</t>
  </si>
  <si>
    <t>К1324УВ8У1</t>
  </si>
  <si>
    <t>К1324ПМ15У</t>
  </si>
  <si>
    <t>К1324ПМ20У</t>
  </si>
  <si>
    <t>К1324ПМ22У</t>
  </si>
  <si>
    <t>К1324ПМ13У</t>
  </si>
  <si>
    <t>171/24</t>
  </si>
  <si>
    <t>07_24 годные, но снизу есть грязь</t>
  </si>
  <si>
    <t>б/м</t>
  </si>
  <si>
    <t>01/25 и 12/24</t>
  </si>
  <si>
    <t>IPWR-503-M16</t>
  </si>
  <si>
    <t>01/25</t>
  </si>
  <si>
    <t>IPWR-531-M16</t>
  </si>
  <si>
    <t>8169 с/л 351/24</t>
  </si>
  <si>
    <t>219(знтц)</t>
  </si>
  <si>
    <t>1432УД37У</t>
  </si>
  <si>
    <t>немаркированные</t>
  </si>
  <si>
    <t>217(знтц)</t>
  </si>
  <si>
    <t>203 от 08.02.2023</t>
  </si>
  <si>
    <t>252 от 21.04.2023</t>
  </si>
  <si>
    <t>254 от 22.04.2023</t>
  </si>
  <si>
    <t>3124ПЛ1У</t>
  </si>
  <si>
    <t>197(знтц)</t>
  </si>
  <si>
    <t>296/24</t>
  </si>
  <si>
    <t>295 от 13.06.2023</t>
  </si>
  <si>
    <t>153 от 22.11.2022</t>
  </si>
  <si>
    <t>353/24</t>
  </si>
  <si>
    <t>352/24</t>
  </si>
  <si>
    <t>284 от 29.05.2023</t>
  </si>
  <si>
    <t>257/24</t>
  </si>
  <si>
    <t>85/24</t>
  </si>
  <si>
    <t>229/24</t>
  </si>
  <si>
    <t>задача 9745</t>
  </si>
  <si>
    <t>iPA-64-MB</t>
  </si>
  <si>
    <t>370 от 11.09.2023</t>
  </si>
  <si>
    <t>251/24</t>
  </si>
  <si>
    <t>362/24</t>
  </si>
  <si>
    <t>ВНУТРИ 1 МИКРОСХЕМА</t>
  </si>
  <si>
    <t>361/24</t>
  </si>
  <si>
    <t>РКС</t>
  </si>
  <si>
    <t>ТАИП</t>
  </si>
  <si>
    <t>МЗ РИП</t>
  </si>
  <si>
    <t>НИИ ТП</t>
  </si>
  <si>
    <t>ТЛВШ.757645.004 (I0.050.1)</t>
  </si>
  <si>
    <t>Микросхема К1324ПС9АУ1</t>
  </si>
  <si>
    <t>СБТ</t>
  </si>
  <si>
    <t>Агат</t>
  </si>
  <si>
    <t>iPA-0023-F</t>
  </si>
  <si>
    <t>iPA-0020-F</t>
  </si>
  <si>
    <t>iPA-0027-F</t>
  </si>
  <si>
    <t>iPA-0021-F</t>
  </si>
  <si>
    <t>На измерении</t>
  </si>
  <si>
    <t>iPA-81-M</t>
  </si>
  <si>
    <t>iPA-0082-M</t>
  </si>
  <si>
    <t>iPA-0085-M</t>
  </si>
  <si>
    <t>№000081222, 000071222, 000051222, 000041222, 000031222, 000021222, 000011222,000101222, 000091222</t>
  </si>
  <si>
    <t>iPA-0081-M</t>
  </si>
  <si>
    <t>№000010822</t>
  </si>
  <si>
    <t>01/25 7 штук 11/24 1шт</t>
  </si>
  <si>
    <t>К1324УВ28У1</t>
  </si>
  <si>
    <t>корпус МО32</t>
  </si>
  <si>
    <t>К1324УВ28У</t>
  </si>
  <si>
    <t>корпус КП32</t>
  </si>
  <si>
    <t>К1324ПФ3У</t>
  </si>
  <si>
    <t>ПЛ1У</t>
  </si>
  <si>
    <t>ТЛВШ.757645.008</t>
  </si>
  <si>
    <t>От Кузьмина А.</t>
  </si>
  <si>
    <t>iPA-82-M</t>
  </si>
  <si>
    <t>после ремонта</t>
  </si>
  <si>
    <t>iPA-64-F</t>
  </si>
  <si>
    <t>iPA-41-F</t>
  </si>
  <si>
    <t>iPA-110-M</t>
  </si>
  <si>
    <t>iPA-115-M</t>
  </si>
  <si>
    <t>iPA-84-M</t>
  </si>
  <si>
    <t>К1324ПЦ9У</t>
  </si>
  <si>
    <t>iPA-36-F</t>
  </si>
  <si>
    <t>iPA-83-M</t>
  </si>
  <si>
    <t>64/25</t>
  </si>
  <si>
    <t>iPA-116-M</t>
  </si>
  <si>
    <t>сборка 2025.02.14</t>
  </si>
  <si>
    <t>65/25</t>
  </si>
  <si>
    <t>ПП-1324ПЦ2У</t>
  </si>
  <si>
    <t>5 на плате и 3 дополнительно</t>
  </si>
  <si>
    <t>ПП-1324ХА1У</t>
  </si>
  <si>
    <t>1 на плате и 1 дополнительно</t>
  </si>
  <si>
    <t>ПП-1324ПС8У</t>
  </si>
  <si>
    <t>4 на плате</t>
  </si>
  <si>
    <t>ПП-1324УФ1У</t>
  </si>
  <si>
    <t>5 на плате и 5 дополнительно</t>
  </si>
  <si>
    <t>ПП-1324УВ3У</t>
  </si>
  <si>
    <t>ПП-1324ПП3У</t>
  </si>
  <si>
    <t>5 на плате</t>
  </si>
  <si>
    <t>ПП-1324УВ15У1</t>
  </si>
  <si>
    <t>3 на плате</t>
  </si>
  <si>
    <t>ПП-1324УВ14У1</t>
  </si>
  <si>
    <t>ПП-1324УВ13У1</t>
  </si>
  <si>
    <t>ПП-1324УВ12У1</t>
  </si>
  <si>
    <t>2 на плате</t>
  </si>
  <si>
    <t>ПП-1324УВ11У1</t>
  </si>
  <si>
    <t>ПП-1324УВ1У</t>
  </si>
  <si>
    <t>ПП-1324УВ9У1</t>
  </si>
  <si>
    <t>ПП-1324УВ9У</t>
  </si>
  <si>
    <t>ПП-1324УВ2У</t>
  </si>
  <si>
    <t>ПП-1324УВ7У</t>
  </si>
  <si>
    <t>ПП-1324УВ8У</t>
  </si>
  <si>
    <t>ПП-1324УВ7У1</t>
  </si>
  <si>
    <t>ПП-1324ПП2У</t>
  </si>
  <si>
    <t>ПП-1324УВ6У</t>
  </si>
  <si>
    <t>2 на плате и 3 дополнительно</t>
  </si>
  <si>
    <t>5 на плате и 6 дополнительно</t>
  </si>
  <si>
    <t>3 на плате и 4 дополнительно</t>
  </si>
  <si>
    <t>ПП-К1324УВ11У</t>
  </si>
  <si>
    <t>ПП-К1324УВ12У</t>
  </si>
  <si>
    <t>ПП-К1324УВ13У</t>
  </si>
  <si>
    <t>ПП-1324УВ14У</t>
  </si>
  <si>
    <t>ПП-1324УВ15У</t>
  </si>
  <si>
    <t>ПП-1324ПЦ5У</t>
  </si>
  <si>
    <t>ПП-1324ПЦ4У</t>
  </si>
  <si>
    <t>ПП-1324ПЦ3У</t>
  </si>
  <si>
    <t>4 на плате и 4 дополнительно</t>
  </si>
  <si>
    <t>5 на плате и 4 дополнительно</t>
  </si>
  <si>
    <t>ПП-1324ПЦ1У</t>
  </si>
  <si>
    <t xml:space="preserve">5 на плате </t>
  </si>
  <si>
    <t>ПП-1324УУ1У</t>
  </si>
  <si>
    <t>4 платы с микросхемами и 5 дполнительно</t>
  </si>
  <si>
    <t>ПП-1324ПФ1У</t>
  </si>
  <si>
    <t>2 на плате и 2 дополнительно</t>
  </si>
  <si>
    <t>ПП-1324ПП4У</t>
  </si>
  <si>
    <t>ПП-1324ПП7У</t>
  </si>
  <si>
    <t>ПП-1324ПП6У</t>
  </si>
  <si>
    <t>4 микросхемы на плате и 4 дополнительно</t>
  </si>
  <si>
    <t>ПП-1324ПС3У</t>
  </si>
  <si>
    <t>4 на плате и 5 дополнительно</t>
  </si>
  <si>
    <t>ПП-1324ПС10У</t>
  </si>
  <si>
    <t>4 на плате и 4 в комплекте</t>
  </si>
  <si>
    <t>ПП-1324ПС5У</t>
  </si>
  <si>
    <t>только платы без микросхем</t>
  </si>
  <si>
    <t>ПП-1324ПС4У</t>
  </si>
  <si>
    <t>ПП-1324ПС2У</t>
  </si>
  <si>
    <t>4 на плате и 1 дополнительно</t>
  </si>
  <si>
    <t>ПП-1324ПС1У</t>
  </si>
  <si>
    <t xml:space="preserve">5 микросхем на плате и 5 дополнительно </t>
  </si>
  <si>
    <t>232 (177)</t>
  </si>
  <si>
    <t>ИРЗ-Связь обмен</t>
  </si>
  <si>
    <t>ТЛВШ.757644.004 (HJB 657)</t>
  </si>
  <si>
    <t xml:space="preserve"> Отгрузка РКС</t>
  </si>
  <si>
    <t>Приход</t>
  </si>
  <si>
    <t>платы питания линейки DPA
Задача № 12875</t>
  </si>
  <si>
    <t>Измерения (Савощенко)</t>
  </si>
  <si>
    <t>1 на плате и 4 дополнительно</t>
  </si>
  <si>
    <t>169/25</t>
  </si>
  <si>
    <t>iPA-116-М</t>
  </si>
  <si>
    <t>R087W2-3, R049W2-1</t>
  </si>
  <si>
    <t>ПП</t>
  </si>
  <si>
    <t>нет листа</t>
  </si>
  <si>
    <t>12.06.0492</t>
  </si>
  <si>
    <t>нет информации</t>
  </si>
  <si>
    <t>1080А</t>
  </si>
  <si>
    <t>D115W2-0</t>
  </si>
  <si>
    <t>QFN3x3</t>
  </si>
  <si>
    <t>WN0098v5</t>
  </si>
  <si>
    <t>010i2_00</t>
  </si>
  <si>
    <t>МВ</t>
  </si>
  <si>
    <t>5140.8</t>
  </si>
  <si>
    <t>13.27.0423</t>
  </si>
  <si>
    <t>40.22.0889</t>
  </si>
  <si>
    <t>WN0221v0</t>
  </si>
  <si>
    <t>MB32-5050-01</t>
  </si>
  <si>
    <t>Фазотрон-НИИР</t>
  </si>
  <si>
    <t>Обуховский завод</t>
  </si>
  <si>
    <t>Микросхема К1324ПЦ6У</t>
  </si>
  <si>
    <t>ТЛВШ.757645.003 (I0.094.1)</t>
  </si>
  <si>
    <t>176/25</t>
  </si>
  <si>
    <t>W0.027.4</t>
  </si>
  <si>
    <t>Задача 13261</t>
  </si>
  <si>
    <t>R086W2-2</t>
  </si>
  <si>
    <t>ВНИИФТРИ</t>
  </si>
  <si>
    <t>Вектор</t>
  </si>
  <si>
    <t>03.07.25 нет оснастки, не возможно измерить</t>
  </si>
  <si>
    <t>24_03
03.07.25 нет оснастки, не возможно измерить</t>
  </si>
  <si>
    <t>24_03
03.07.2025 БРАК</t>
  </si>
  <si>
    <t>маркировка 24_03
нет информации</t>
  </si>
  <si>
    <t>На герметизацию</t>
  </si>
  <si>
    <t>Для измерений Баландину</t>
  </si>
  <si>
    <t>iPA-41-MB</t>
  </si>
  <si>
    <t>Передали с 28 этажа</t>
  </si>
  <si>
    <t xml:space="preserve">Для Коржовой </t>
  </si>
  <si>
    <t>Переданы на измерения Горневой К., потом на маркировку Гаврилову С.</t>
  </si>
  <si>
    <t>сборка 2025.02.17 // Переданы на маркировку</t>
  </si>
  <si>
    <t>ОКБ МЭИ</t>
  </si>
  <si>
    <t>ФНПЦ ННИИРТ</t>
  </si>
  <si>
    <t>Нугаеву А.Т.</t>
  </si>
  <si>
    <t>Задача № 13935</t>
  </si>
  <si>
    <t>_</t>
  </si>
  <si>
    <t>W0.094.1, W3.144.0</t>
  </si>
  <si>
    <t>№21122, №61122, №41122, №11122, №51122 После ремонта</t>
  </si>
  <si>
    <t>iMIX-412-SMX</t>
  </si>
  <si>
    <t>W1.043.2, W0.038.1</t>
  </si>
  <si>
    <t>ТЛВШ.758775.001</t>
  </si>
  <si>
    <t>iMIX-411-SMX</t>
  </si>
  <si>
    <t>W1.040.2 , W0.039.1</t>
  </si>
  <si>
    <t>iMIX-410-SMX</t>
  </si>
  <si>
    <t>iMIX-413-SMX</t>
  </si>
  <si>
    <t>W1.043.2 , W0.038.1</t>
  </si>
  <si>
    <t>iPWR-504-M24</t>
  </si>
  <si>
    <t>iPWR-503-M16</t>
  </si>
  <si>
    <t>iPWR-531-M16</t>
  </si>
  <si>
    <t>iPWR-502</t>
  </si>
  <si>
    <t xml:space="preserve">25_01 </t>
  </si>
  <si>
    <t>01_25 1шт без крышки</t>
  </si>
  <si>
    <t>351/24</t>
  </si>
  <si>
    <t>11_24 з.8169</t>
  </si>
  <si>
    <t>__</t>
  </si>
  <si>
    <t>iDA710-H</t>
  </si>
  <si>
    <t>6шт-W1.039.3, 2шт-W1.039.4</t>
  </si>
  <si>
    <t>QLCC24/24-2</t>
  </si>
  <si>
    <t>iDA0071-H</t>
  </si>
  <si>
    <t>W1.039.4, I0.180.0</t>
  </si>
  <si>
    <t>QLCC24 (5159.24-1)</t>
  </si>
  <si>
    <t>W0.094.1</t>
  </si>
  <si>
    <t>12.06.1731</t>
  </si>
  <si>
    <t xml:space="preserve">iPA-0081-M падает выходная мощность </t>
  </si>
  <si>
    <t xml:space="preserve">iPA-81-M </t>
  </si>
  <si>
    <t>35, 43,49 годные после ремонта (4627)</t>
  </si>
  <si>
    <t>W0.095.1</t>
  </si>
  <si>
    <t>HXN010080-P40</t>
  </si>
  <si>
    <t>один перевернут причины неизвестны</t>
  </si>
  <si>
    <t>W2.090.1</t>
  </si>
  <si>
    <t>12.06.0182</t>
  </si>
  <si>
    <t>W2.065.1</t>
  </si>
  <si>
    <t>сборка 21.06.2023 без крышки</t>
  </si>
  <si>
    <t>W2.049.1, W0.132.0</t>
  </si>
  <si>
    <t>12.06.0165</t>
  </si>
  <si>
    <t>з.11615</t>
  </si>
  <si>
    <t>з.10757</t>
  </si>
  <si>
    <t>D105W2-0</t>
  </si>
  <si>
    <t>12.06.1119</t>
  </si>
  <si>
    <t>з.10715 - с/л 247/24</t>
  </si>
  <si>
    <t>з.10835 64/25 65/25</t>
  </si>
  <si>
    <t xml:space="preserve">9 годных - 1 условно годная, передавать в последнюю очередь(номер8), сборка 2025.02.14 </t>
  </si>
  <si>
    <t>iPA-1884-M демонстрационная оснастка</t>
  </si>
  <si>
    <t>дата 2401, №0001, проверен в марте 2025,</t>
  </si>
  <si>
    <t>I0.184.0</t>
  </si>
  <si>
    <t>06.17.0340</t>
  </si>
  <si>
    <t>4 на плате был забит неправильный номер пп12.06.0212</t>
  </si>
  <si>
    <t>14.27.0493</t>
  </si>
  <si>
    <t>13.27.918</t>
  </si>
  <si>
    <t>21.27.0325</t>
  </si>
  <si>
    <t>5 на плате 40220891 старое название пп</t>
  </si>
  <si>
    <t>13.22.0616</t>
  </si>
  <si>
    <t>3 на плате старое название пп 13.25.1042</t>
  </si>
  <si>
    <t>13.22.0614</t>
  </si>
  <si>
    <t>3 на плате и 5 дополнительно (было название пп МК5130.16-АНЗ)</t>
  </si>
  <si>
    <t>13.22.0613</t>
  </si>
  <si>
    <t>13.22.0608</t>
  </si>
  <si>
    <t>13.22.0483</t>
  </si>
  <si>
    <t>21.27.0326</t>
  </si>
  <si>
    <t xml:space="preserve">5 на плате 12.06.0211 старое название пп </t>
  </si>
  <si>
    <t>HJB315</t>
  </si>
  <si>
    <t>HJB569</t>
  </si>
  <si>
    <t>13.27.0432</t>
  </si>
  <si>
    <t>X1.030.0</t>
  </si>
  <si>
    <t>20.27.0485</t>
  </si>
  <si>
    <t>20.27.0322</t>
  </si>
  <si>
    <t>17.27.0607</t>
  </si>
  <si>
    <t>21.27.0394</t>
  </si>
  <si>
    <t>1 на плате и 5 дополнительно (2 переданы Баландину)</t>
  </si>
  <si>
    <t>W0.0872</t>
  </si>
  <si>
    <t>22.27.0477</t>
  </si>
  <si>
    <t xml:space="preserve">_ </t>
  </si>
  <si>
    <t>HGB677</t>
  </si>
  <si>
    <t>12.06.1233</t>
  </si>
  <si>
    <t>12.06.1188</t>
  </si>
  <si>
    <t>Маркировка 12.24         1 без марк</t>
  </si>
  <si>
    <t xml:space="preserve">   </t>
  </si>
  <si>
    <t>НПЦ Гранат</t>
  </si>
  <si>
    <t>Задача 14031</t>
  </si>
  <si>
    <t>Задача 14031 (замена брака)</t>
  </si>
  <si>
    <t>Задача № 14211</t>
  </si>
  <si>
    <t>Микросхема К1324ПФ11У</t>
  </si>
  <si>
    <t>АО "НИИ "Вектор"</t>
  </si>
  <si>
    <t>Находится на 2 шт. больше</t>
  </si>
  <si>
    <t>391/25</t>
  </si>
  <si>
    <t>ПП-1324ПМ1У</t>
  </si>
  <si>
    <t>Сборка 2025.09.04. (з. 14531)</t>
  </si>
  <si>
    <t>iPA-45-F</t>
  </si>
  <si>
    <t>18 - для отработки</t>
  </si>
  <si>
    <t>Задача 14133</t>
  </si>
  <si>
    <t>R106W2-0</t>
  </si>
  <si>
    <t>12.06.1067</t>
  </si>
  <si>
    <t>194/25</t>
  </si>
  <si>
    <t>12.06.1275</t>
  </si>
  <si>
    <t>Задача № 12175</t>
  </si>
  <si>
    <t>305/25</t>
  </si>
  <si>
    <t>Задача № 13647</t>
  </si>
  <si>
    <t>380/25</t>
  </si>
  <si>
    <t>Задача № 14531</t>
  </si>
  <si>
    <t>Соловьеву Е.А.</t>
  </si>
  <si>
    <t>Решетнёв</t>
  </si>
  <si>
    <t>5 - шт. Коржовой Н.А. Радиотех</t>
  </si>
  <si>
    <t>5 шт. Коржовой Н.А. ВНИИФТРИ</t>
  </si>
  <si>
    <t>5 шт. Коржовой Н.А. ВНИИФТРИ
6 шт. Коржовой Н.А. Обуховский завод</t>
  </si>
  <si>
    <t>ВНИИА</t>
  </si>
  <si>
    <t>МЭИ</t>
  </si>
  <si>
    <t>449/25</t>
  </si>
  <si>
    <t>Задача № 15235</t>
  </si>
  <si>
    <t>Радар-ММС</t>
  </si>
  <si>
    <t>438/25</t>
  </si>
  <si>
    <t>R087W2-3, D111W2-0</t>
  </si>
  <si>
    <t>Задача № 15067</t>
  </si>
  <si>
    <t>Для нужн измерительной 
лаборатиории (Савощенко)</t>
  </si>
  <si>
    <t>iPA-100-MB</t>
  </si>
  <si>
    <t>R065W2-1 с MS.001.0</t>
  </si>
  <si>
    <t>МВ32-5050-1</t>
  </si>
  <si>
    <t>Задача № 14563</t>
  </si>
  <si>
    <t>D115W2-0 без ЦС</t>
  </si>
  <si>
    <t>Задача № 9533</t>
  </si>
  <si>
    <t>Задача №15433</t>
  </si>
  <si>
    <t>Задача № 14947</t>
  </si>
  <si>
    <t>408/25</t>
  </si>
  <si>
    <t>МПП16</t>
  </si>
  <si>
    <t>40.22.0773</t>
  </si>
  <si>
    <t>Маркировка 06 25</t>
  </si>
  <si>
    <t>40.22.1108</t>
  </si>
  <si>
    <t>40.22.0634</t>
  </si>
  <si>
    <t>Передача потребителю Дмитрий Остахов ЯРЗ</t>
  </si>
  <si>
    <t>471/25</t>
  </si>
  <si>
    <t>Задача № 15629</t>
  </si>
  <si>
    <t>ЦСР МНИИРС</t>
  </si>
  <si>
    <t>Замена</t>
  </si>
  <si>
    <t>Сборка 2025.09.04. (з. 14947)</t>
  </si>
  <si>
    <t>Астрон-Электроника</t>
  </si>
  <si>
    <t>Сопр.лист</t>
  </si>
  <si>
    <t>Сборка 2025.10.08 (з. 15235)</t>
  </si>
  <si>
    <t>Коржовой Н.А., Буйнову</t>
  </si>
  <si>
    <t>Коржовой Н.А., Горневой К., Гаврилову С.</t>
  </si>
  <si>
    <t>Горневой К.</t>
  </si>
  <si>
    <t>Баландину Д.А.</t>
  </si>
  <si>
    <t>Смагину Ю.А.</t>
  </si>
  <si>
    <t>Пушкаревой Ж.</t>
  </si>
  <si>
    <t>Гришиной О.В.</t>
  </si>
  <si>
    <t>Путинцеву Д.С.</t>
  </si>
  <si>
    <t>Задача № 16485</t>
  </si>
  <si>
    <t>Микро-Вис</t>
  </si>
  <si>
    <t>ПП-iPA-72-MB</t>
  </si>
  <si>
    <t>2 микросхемы на плате и 3 дополнительно</t>
  </si>
  <si>
    <t>ПП-iPA-73-MB</t>
  </si>
  <si>
    <t>3 микросхемы на плате и 2 дополнительно
Задача 14527</t>
  </si>
  <si>
    <t>ПП-iPA-74-MB</t>
  </si>
  <si>
    <t>ПП-iPA-75-MB</t>
  </si>
  <si>
    <t>2 микросхемы на плате и 2 дополнительно
Задача 13661</t>
  </si>
  <si>
    <t>ЧИП и ДИП</t>
  </si>
  <si>
    <t>iPA-81-М</t>
  </si>
  <si>
    <t>ММЗ</t>
  </si>
  <si>
    <t>1 микросхема на плате и 2 дополнительно
Задача 11219</t>
  </si>
  <si>
    <t>Задача 16787</t>
  </si>
  <si>
    <t>D116W2-0 и D111W2-0</t>
  </si>
  <si>
    <t>Сборка 2025.11.17 (з. 13757)</t>
  </si>
  <si>
    <t>Сборка 2025.11.20 (з. 16037)</t>
  </si>
  <si>
    <t>Сборка 2025.11.17 (з. 13719)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</si>
</sst>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₽&quot;"/>
    <numFmt numFmtId="165" formatCode="[$-409]m/d/yyyy"/>
  </numFmts>
  <fonts count="16" x14ac:knownFonts="1">
    <font>
      <sz val="11"/>
      <color theme="1"/>
      <name val="Calibri"/>
    </font>
    <font>
      <u/>
      <sz val="11"/>
      <color indexed="4"/>
      <name val="Calibri"/>
      <family val="2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indexed="17"/>
      <name val="Times New Roman"/>
      <family val="1"/>
      <charset val="204"/>
    </font>
    <font>
      <sz val="11"/>
      <color indexed="2"/>
      <name val="Calibri"/>
      <family val="2"/>
      <charset val="204"/>
    </font>
    <font>
      <sz val="11"/>
      <name val="Calibri"/>
      <family val="2"/>
      <charset val="204"/>
    </font>
    <font>
      <sz val="12"/>
      <name val="Calibri"/>
      <family val="2"/>
      <charset val="204"/>
    </font>
    <font>
      <sz val="11"/>
      <color theme="1"/>
      <name val="Calibri"/>
      <family val="2"/>
      <charset val="204"/>
    </font>
    <font>
      <sz val="9"/>
      <name val="Tahoma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color theme="9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indexed="65"/>
      </patternFill>
    </fill>
    <fill>
      <patternFill patternType="solid">
        <fgColor theme="5" tint="0.39988402966399123"/>
        <bgColor indexed="65"/>
      </patternFill>
    </fill>
    <fill>
      <patternFill patternType="solid">
        <fgColor indexed="51"/>
        <bgColor indexed="5"/>
      </patternFill>
    </fill>
    <fill>
      <patternFill patternType="solid">
        <fgColor indexed="65"/>
        <bgColor indexed="26"/>
      </patternFill>
    </fill>
    <fill>
      <patternFill patternType="solid">
        <fgColor indexed="57"/>
        <bgColor indexed="21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auto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theme="1"/>
      </top>
      <bottom/>
      <diagonal/>
    </border>
    <border>
      <left style="thin">
        <color auto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/>
      <bottom/>
      <diagonal/>
    </border>
    <border>
      <left style="thin">
        <color auto="1"/>
      </left>
      <right style="thin">
        <color theme="1"/>
      </right>
      <top/>
      <bottom style="thin">
        <color auto="1"/>
      </bottom>
      <diagonal/>
    </border>
    <border>
      <left style="thin">
        <color theme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auto="1"/>
      </top>
      <bottom/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Border="0" applyProtection="0"/>
    <xf numFmtId="0" fontId="10" fillId="0" borderId="0"/>
    <xf numFmtId="0" fontId="10" fillId="0" borderId="0"/>
    <xf numFmtId="0" fontId="10" fillId="0" borderId="0"/>
  </cellStyleXfs>
  <cellXfs count="27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14" fontId="2" fillId="3" borderId="5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/>
    </xf>
    <xf numFmtId="14" fontId="3" fillId="3" borderId="5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14" fontId="2" fillId="3" borderId="10" xfId="0" applyNumberFormat="1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14" fontId="2" fillId="0" borderId="10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4" fontId="2" fillId="3" borderId="11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3" borderId="12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13" xfId="0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14" fontId="2" fillId="0" borderId="17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3" borderId="15" xfId="0" applyFont="1" applyFill="1" applyBorder="1" applyAlignment="1">
      <alignment horizontal="left" vertical="center"/>
    </xf>
    <xf numFmtId="14" fontId="2" fillId="0" borderId="9" xfId="0" applyNumberFormat="1" applyFont="1" applyBorder="1" applyAlignment="1">
      <alignment horizontal="center" vertical="center"/>
    </xf>
    <xf numFmtId="0" fontId="2" fillId="3" borderId="18" xfId="0" applyFont="1" applyFill="1" applyBorder="1" applyAlignment="1">
      <alignment horizontal="left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3" fillId="3" borderId="18" xfId="0" applyFont="1" applyFill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2" fillId="3" borderId="20" xfId="0" applyFont="1" applyFill="1" applyBorder="1" applyAlignment="1">
      <alignment horizontal="left" vertical="center"/>
    </xf>
    <xf numFmtId="0" fontId="2" fillId="3" borderId="2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/>
    </xf>
    <xf numFmtId="14" fontId="3" fillId="3" borderId="10" xfId="0" applyNumberFormat="1" applyFont="1" applyFill="1" applyBorder="1" applyAlignment="1">
      <alignment horizontal="center" vertical="center"/>
    </xf>
    <xf numFmtId="14" fontId="2" fillId="3" borderId="15" xfId="0" applyNumberFormat="1" applyFont="1" applyFill="1" applyBorder="1" applyAlignment="1">
      <alignment horizontal="center" vertical="center"/>
    </xf>
    <xf numFmtId="14" fontId="2" fillId="3" borderId="12" xfId="0" applyNumberFormat="1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25" xfId="0" applyFont="1" applyFill="1" applyBorder="1" applyAlignment="1">
      <alignment horizontal="center" vertical="center"/>
    </xf>
    <xf numFmtId="14" fontId="2" fillId="0" borderId="23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0" fontId="2" fillId="0" borderId="23" xfId="0" applyFont="1" applyBorder="1" applyAlignment="1">
      <alignment horizontal="left" vertical="center"/>
    </xf>
    <xf numFmtId="14" fontId="2" fillId="3" borderId="9" xfId="0" applyNumberFormat="1" applyFont="1" applyFill="1" applyBorder="1" applyAlignment="1">
      <alignment horizontal="center" vertical="center"/>
    </xf>
    <xf numFmtId="14" fontId="2" fillId="3" borderId="18" xfId="0" applyNumberFormat="1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vertical="center"/>
    </xf>
    <xf numFmtId="0" fontId="3" fillId="3" borderId="26" xfId="0" applyFont="1" applyFill="1" applyBorder="1" applyAlignment="1">
      <alignment horizontal="center" vertical="center"/>
    </xf>
    <xf numFmtId="14" fontId="3" fillId="3" borderId="27" xfId="0" applyNumberFormat="1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14" fontId="2" fillId="3" borderId="27" xfId="0" applyNumberFormat="1" applyFont="1" applyFill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28" xfId="0" applyFont="1" applyFill="1" applyBorder="1" applyAlignment="1">
      <alignment horizontal="center" vertical="center"/>
    </xf>
    <xf numFmtId="14" fontId="2" fillId="3" borderId="29" xfId="0" applyNumberFormat="1" applyFont="1" applyFill="1" applyBorder="1" applyAlignment="1">
      <alignment horizontal="center" vertical="center"/>
    </xf>
    <xf numFmtId="14" fontId="2" fillId="0" borderId="18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left" vertical="center"/>
    </xf>
    <xf numFmtId="0" fontId="2" fillId="3" borderId="31" xfId="0" applyFont="1" applyFill="1" applyBorder="1" applyAlignment="1">
      <alignment horizontal="center" vertical="center"/>
    </xf>
    <xf numFmtId="14" fontId="2" fillId="3" borderId="24" xfId="0" applyNumberFormat="1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14" fontId="2" fillId="3" borderId="30" xfId="0" applyNumberFormat="1" applyFont="1" applyFill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2" fillId="0" borderId="32" xfId="0" applyFont="1" applyBorder="1" applyAlignment="1">
      <alignment horizontal="center" vertical="center"/>
    </xf>
    <xf numFmtId="14" fontId="2" fillId="0" borderId="27" xfId="0" applyNumberFormat="1" applyFont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left" vertical="center"/>
    </xf>
    <xf numFmtId="0" fontId="2" fillId="3" borderId="34" xfId="0" applyFont="1" applyFill="1" applyBorder="1" applyAlignment="1">
      <alignment horizontal="left" vertical="center" wrapText="1"/>
    </xf>
    <xf numFmtId="0" fontId="2" fillId="3" borderId="37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14" fontId="2" fillId="3" borderId="22" xfId="0" applyNumberFormat="1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0" fillId="0" borderId="9" xfId="0" applyBorder="1"/>
    <xf numFmtId="0" fontId="3" fillId="0" borderId="9" xfId="0" applyFont="1" applyBorder="1"/>
    <xf numFmtId="0" fontId="3" fillId="6" borderId="34" xfId="0" applyFont="1" applyFill="1" applyBorder="1" applyAlignment="1">
      <alignment horizontal="center"/>
    </xf>
    <xf numFmtId="0" fontId="3" fillId="7" borderId="40" xfId="0" applyFont="1" applyFill="1" applyBorder="1"/>
    <xf numFmtId="0" fontId="3" fillId="0" borderId="23" xfId="0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9" fontId="0" fillId="6" borderId="9" xfId="0" applyNumberFormat="1" applyFill="1" applyBorder="1" applyAlignment="1">
      <alignment horizontal="center" vertical="center" wrapText="1"/>
    </xf>
    <xf numFmtId="49" fontId="7" fillId="6" borderId="9" xfId="0" applyNumberFormat="1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 wrapText="1"/>
    </xf>
    <xf numFmtId="0" fontId="3" fillId="6" borderId="9" xfId="0" applyFont="1" applyFill="1" applyBorder="1"/>
    <xf numFmtId="165" fontId="0" fillId="6" borderId="9" xfId="0" applyNumberForma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/>
    </xf>
    <xf numFmtId="0" fontId="3" fillId="7" borderId="23" xfId="0" applyFont="1" applyFill="1" applyBorder="1"/>
    <xf numFmtId="0" fontId="3" fillId="6" borderId="18" xfId="0" applyFont="1" applyFill="1" applyBorder="1"/>
    <xf numFmtId="1" fontId="8" fillId="6" borderId="9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9" xfId="0" applyFont="1" applyBorder="1"/>
    <xf numFmtId="165" fontId="9" fillId="6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/>
    </xf>
    <xf numFmtId="1" fontId="0" fillId="6" borderId="9" xfId="0" applyNumberForma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0" fontId="3" fillId="6" borderId="9" xfId="0" applyFont="1" applyFill="1" applyBorder="1" applyAlignment="1">
      <alignment horizontal="center"/>
    </xf>
    <xf numFmtId="0" fontId="3" fillId="7" borderId="9" xfId="0" applyFont="1" applyFill="1" applyBorder="1"/>
    <xf numFmtId="0" fontId="3" fillId="7" borderId="17" xfId="0" applyFont="1" applyFill="1" applyBorder="1"/>
    <xf numFmtId="0" fontId="3" fillId="7" borderId="41" xfId="0" applyFont="1" applyFill="1" applyBorder="1"/>
    <xf numFmtId="0" fontId="8" fillId="0" borderId="0" xfId="0" applyFont="1"/>
    <xf numFmtId="0" fontId="3" fillId="0" borderId="23" xfId="0" applyFont="1" applyBorder="1"/>
    <xf numFmtId="0" fontId="3" fillId="0" borderId="40" xfId="0" applyFont="1" applyBorder="1" applyAlignment="1">
      <alignment horizontal="center"/>
    </xf>
    <xf numFmtId="0" fontId="3" fillId="0" borderId="40" xfId="0" applyFont="1" applyBorder="1"/>
    <xf numFmtId="164" fontId="3" fillId="0" borderId="23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7" xfId="0" applyFont="1" applyBorder="1"/>
    <xf numFmtId="164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2" fillId="0" borderId="15" xfId="0" applyFont="1" applyBorder="1" applyAlignment="1">
      <alignment horizontal="left" vertical="center" wrapText="1"/>
    </xf>
    <xf numFmtId="14" fontId="2" fillId="3" borderId="32" xfId="0" applyNumberFormat="1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left" vertical="center"/>
    </xf>
    <xf numFmtId="0" fontId="2" fillId="3" borderId="22" xfId="0" applyFont="1" applyFill="1" applyBorder="1" applyAlignment="1">
      <alignment horizontal="left" vertical="center"/>
    </xf>
    <xf numFmtId="14" fontId="2" fillId="0" borderId="32" xfId="0" applyNumberFormat="1" applyFont="1" applyBorder="1" applyAlignment="1">
      <alignment horizontal="center" vertical="center"/>
    </xf>
    <xf numFmtId="0" fontId="2" fillId="3" borderId="42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 wrapText="1"/>
    </xf>
    <xf numFmtId="14" fontId="2" fillId="0" borderId="29" xfId="0" applyNumberFormat="1" applyFont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/>
    </xf>
    <xf numFmtId="14" fontId="2" fillId="3" borderId="44" xfId="0" applyNumberFormat="1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6" borderId="23" xfId="0" applyFont="1" applyFill="1" applyBorder="1"/>
    <xf numFmtId="0" fontId="3" fillId="6" borderId="23" xfId="0" applyFont="1" applyFill="1" applyBorder="1" applyAlignment="1">
      <alignment horizontal="center"/>
    </xf>
    <xf numFmtId="0" fontId="3" fillId="6" borderId="45" xfId="0" applyFont="1" applyFill="1" applyBorder="1"/>
    <xf numFmtId="0" fontId="3" fillId="6" borderId="45" xfId="0" applyFont="1" applyFill="1" applyBorder="1" applyAlignment="1">
      <alignment horizontal="center"/>
    </xf>
    <xf numFmtId="0" fontId="0" fillId="8" borderId="9" xfId="0" applyFill="1" applyBorder="1"/>
    <xf numFmtId="0" fontId="8" fillId="8" borderId="9" xfId="0" applyFont="1" applyFill="1" applyBorder="1"/>
    <xf numFmtId="0" fontId="2" fillId="0" borderId="47" xfId="0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14" fontId="2" fillId="3" borderId="46" xfId="0" applyNumberFormat="1" applyFont="1" applyFill="1" applyBorder="1" applyAlignment="1">
      <alignment horizontal="center" vertical="center"/>
    </xf>
    <xf numFmtId="0" fontId="3" fillId="6" borderId="50" xfId="0" applyFont="1" applyFill="1" applyBorder="1" applyAlignment="1">
      <alignment horizontal="center"/>
    </xf>
    <xf numFmtId="0" fontId="3" fillId="0" borderId="50" xfId="0" applyFont="1" applyBorder="1"/>
    <xf numFmtId="0" fontId="3" fillId="0" borderId="45" xfId="0" applyFont="1" applyBorder="1" applyAlignment="1">
      <alignment horizontal="center" vertical="center"/>
    </xf>
    <xf numFmtId="49" fontId="6" fillId="0" borderId="45" xfId="0" applyNumberFormat="1" applyFont="1" applyBorder="1" applyAlignment="1">
      <alignment horizontal="center" vertical="center"/>
    </xf>
    <xf numFmtId="0" fontId="0" fillId="6" borderId="45" xfId="0" applyFill="1" applyBorder="1" applyAlignment="1">
      <alignment horizontal="center" vertical="center"/>
    </xf>
    <xf numFmtId="0" fontId="8" fillId="0" borderId="18" xfId="0" applyFont="1" applyBorder="1"/>
    <xf numFmtId="0" fontId="0" fillId="0" borderId="5" xfId="0" applyBorder="1"/>
    <xf numFmtId="0" fontId="2" fillId="0" borderId="0" xfId="2" applyFont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14" fontId="2" fillId="0" borderId="5" xfId="2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49" fontId="2" fillId="0" borderId="5" xfId="2" applyNumberFormat="1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49" fontId="3" fillId="0" borderId="5" xfId="2" applyNumberFormat="1" applyFont="1" applyBorder="1" applyAlignment="1">
      <alignment horizontal="center" vertical="center"/>
    </xf>
    <xf numFmtId="0" fontId="15" fillId="0" borderId="5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14" fontId="14" fillId="0" borderId="5" xfId="0" applyNumberFormat="1" applyFont="1" applyBorder="1" applyAlignment="1">
      <alignment horizontal="center" vertical="center"/>
    </xf>
    <xf numFmtId="49" fontId="2" fillId="0" borderId="5" xfId="2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2" fillId="0" borderId="12" xfId="2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14" fontId="2" fillId="0" borderId="12" xfId="2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14" fontId="2" fillId="0" borderId="4" xfId="2" applyNumberFormat="1" applyFont="1" applyBorder="1" applyAlignment="1">
      <alignment horizontal="center" vertical="center"/>
    </xf>
    <xf numFmtId="0" fontId="2" fillId="8" borderId="0" xfId="2" applyFont="1" applyFill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8" borderId="5" xfId="2" applyFont="1" applyFill="1" applyBorder="1" applyAlignment="1">
      <alignment horizontal="center" vertical="center"/>
    </xf>
    <xf numFmtId="14" fontId="2" fillId="8" borderId="5" xfId="2" applyNumberFormat="1" applyFont="1" applyFill="1" applyBorder="1" applyAlignment="1">
      <alignment horizontal="center" vertical="center"/>
    </xf>
    <xf numFmtId="0" fontId="3" fillId="8" borderId="5" xfId="2" applyFont="1" applyFill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3" borderId="45" xfId="0" applyFont="1" applyFill="1" applyBorder="1" applyAlignment="1">
      <alignment horizontal="left" vertical="center"/>
    </xf>
    <xf numFmtId="0" fontId="2" fillId="3" borderId="45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4" fillId="0" borderId="13" xfId="0" applyFont="1" applyBorder="1" applyAlignment="1">
      <alignment horizontal="center" vertical="center"/>
    </xf>
    <xf numFmtId="0" fontId="2" fillId="0" borderId="13" xfId="2" applyFont="1" applyBorder="1" applyAlignment="1">
      <alignment horizontal="center" vertical="center"/>
    </xf>
    <xf numFmtId="14" fontId="2" fillId="0" borderId="0" xfId="2" applyNumberFormat="1" applyFont="1" applyAlignment="1">
      <alignment horizontal="center" vertical="center"/>
    </xf>
    <xf numFmtId="14" fontId="2" fillId="0" borderId="13" xfId="2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3" borderId="4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49" fontId="15" fillId="0" borderId="5" xfId="2" applyNumberFormat="1" applyFont="1" applyBorder="1" applyAlignment="1">
      <alignment horizontal="center" vertical="center"/>
    </xf>
    <xf numFmtId="14" fontId="15" fillId="0" borderId="5" xfId="0" applyNumberFormat="1" applyFont="1" applyBorder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5" fillId="0" borderId="5" xfId="2" applyFont="1" applyBorder="1" applyAlignment="1">
      <alignment horizontal="center" vertical="center" wrapText="1"/>
    </xf>
    <xf numFmtId="14" fontId="15" fillId="0" borderId="5" xfId="2" applyNumberFormat="1" applyFont="1" applyBorder="1" applyAlignment="1">
      <alignment horizontal="center" vertical="center"/>
    </xf>
    <xf numFmtId="14" fontId="15" fillId="0" borderId="4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4" fillId="10" borderId="5" xfId="0" applyFont="1" applyFill="1" applyBorder="1" applyAlignment="1">
      <alignment horizontal="center" vertical="center"/>
    </xf>
    <xf numFmtId="0" fontId="14" fillId="10" borderId="12" xfId="0" applyFont="1" applyFill="1" applyBorder="1" applyAlignment="1">
      <alignment horizontal="center" vertical="center"/>
    </xf>
    <xf numFmtId="0" fontId="2" fillId="10" borderId="5" xfId="2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8" borderId="18" xfId="0" applyFont="1" applyFill="1" applyBorder="1" applyAlignment="1">
      <alignment horizontal="center" vertical="center"/>
    </xf>
    <xf numFmtId="0" fontId="2" fillId="8" borderId="18" xfId="0" applyFont="1" applyFill="1" applyBorder="1" applyAlignment="1">
      <alignment horizontal="left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/>
    </xf>
    <xf numFmtId="14" fontId="2" fillId="8" borderId="5" xfId="0" applyNumberFormat="1" applyFont="1" applyFill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3" borderId="5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39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</cellXfs>
  <cellStyles count="5">
    <cellStyle name="Гиперссылка 2" xfId="1" xr:uid="{00000000-0005-0000-0000-000000000000}"/>
    <cellStyle name="Обычный" xfId="0" builtinId="0"/>
    <cellStyle name="Обычный 2" xfId="2" xr:uid="{00000000-0005-0000-0000-000002000000}"/>
    <cellStyle name="Обычный 2 2" xfId="3" xr:uid="{00000000-0005-0000-0000-000003000000}"/>
    <cellStyle name="Обычный 3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00B050"/>
  </sheetPr>
  <dimension ref="A1:N483"/>
  <sheetViews>
    <sheetView zoomScale="90" zoomScaleNormal="90" workbookViewId="0">
      <selection activeCell="I152" sqref="I152"/>
    </sheetView>
  </sheetViews>
  <sheetFormatPr defaultColWidth="9.140625" defaultRowHeight="15" x14ac:dyDescent="0.25"/>
  <cols>
    <col min="1" max="1" width="15.42578125" style="2" customWidth="1"/>
    <col min="2" max="2" width="30.42578125" style="3" customWidth="1"/>
    <col min="3" max="3" width="41.42578125" style="2" customWidth="1"/>
    <col min="4" max="4" width="20.85546875" style="2" customWidth="1"/>
    <col min="5" max="5" width="13.42578125" style="2" customWidth="1"/>
    <col min="6" max="6" width="11.85546875" style="2" customWidth="1"/>
    <col min="7" max="7" width="10.42578125" style="2" customWidth="1"/>
    <col min="8" max="8" width="16.85546875" style="2" customWidth="1"/>
    <col min="9" max="9" width="18" style="2" bestFit="1" customWidth="1"/>
    <col min="10" max="10" width="15.42578125" style="2" customWidth="1"/>
    <col min="11" max="11" width="12.42578125" style="2" customWidth="1"/>
    <col min="12" max="12" width="17" style="2" customWidth="1"/>
    <col min="13" max="13" width="25.42578125" style="2" customWidth="1"/>
    <col min="14" max="14" width="67.5703125" style="3" customWidth="1"/>
    <col min="15" max="15" width="9.140625" style="1" bestFit="1"/>
    <col min="16" max="16384" width="9.140625" style="1"/>
  </cols>
  <sheetData>
    <row r="1" spans="1:14" ht="15.75" thickBot="1" x14ac:dyDescent="0.3">
      <c r="A1" s="4" t="s">
        <v>352</v>
      </c>
      <c r="B1" s="4" t="s">
        <v>0</v>
      </c>
      <c r="C1" s="4" t="s">
        <v>1</v>
      </c>
      <c r="D1" s="5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6" t="s">
        <v>12</v>
      </c>
    </row>
    <row r="2" spans="1:14" hidden="1" x14ac:dyDescent="0.25">
      <c r="A2" s="7" t="s">
        <v>13</v>
      </c>
      <c r="B2" s="8" t="s">
        <v>14</v>
      </c>
      <c r="C2" s="9" t="s">
        <v>15</v>
      </c>
      <c r="D2" s="10" t="s">
        <v>16</v>
      </c>
      <c r="E2" s="11">
        <v>45076</v>
      </c>
      <c r="F2" s="7">
        <v>67</v>
      </c>
      <c r="G2" s="7"/>
      <c r="H2" s="7"/>
      <c r="I2" s="9">
        <f>F2-K171-K184-K190</f>
        <v>0</v>
      </c>
      <c r="J2" s="11"/>
      <c r="K2" s="7"/>
      <c r="L2" s="9"/>
      <c r="M2" s="9"/>
      <c r="N2" s="8"/>
    </row>
    <row r="3" spans="1:14" hidden="1" x14ac:dyDescent="0.25">
      <c r="A3" s="9">
        <v>42</v>
      </c>
      <c r="B3" s="12" t="s">
        <v>17</v>
      </c>
      <c r="C3" s="9" t="s">
        <v>18</v>
      </c>
      <c r="D3" s="9" t="s">
        <v>16</v>
      </c>
      <c r="E3" s="13">
        <v>45076</v>
      </c>
      <c r="F3" s="9">
        <v>182</v>
      </c>
      <c r="G3" s="9"/>
      <c r="H3" s="9"/>
      <c r="I3" s="9">
        <f>F3-K172-K185-K192-K224</f>
        <v>0</v>
      </c>
      <c r="J3" s="11"/>
      <c r="K3" s="7"/>
      <c r="L3" s="9"/>
      <c r="M3" s="9"/>
      <c r="N3" s="12"/>
    </row>
    <row r="4" spans="1:14" hidden="1" x14ac:dyDescent="0.25">
      <c r="A4" s="9" t="s">
        <v>19</v>
      </c>
      <c r="B4" s="12" t="s">
        <v>20</v>
      </c>
      <c r="C4" s="9" t="s">
        <v>21</v>
      </c>
      <c r="D4" s="10" t="s">
        <v>16</v>
      </c>
      <c r="E4" s="13">
        <v>45076</v>
      </c>
      <c r="F4" s="9">
        <v>25</v>
      </c>
      <c r="G4" s="9"/>
      <c r="H4" s="9"/>
      <c r="I4" s="9">
        <f>F4-K173</f>
        <v>0</v>
      </c>
      <c r="J4" s="13"/>
      <c r="K4" s="9"/>
      <c r="L4" s="9"/>
      <c r="M4" s="9"/>
      <c r="N4" s="12"/>
    </row>
    <row r="5" spans="1:14" hidden="1" x14ac:dyDescent="0.25">
      <c r="A5" s="9" t="s">
        <v>22</v>
      </c>
      <c r="B5" s="12" t="s">
        <v>20</v>
      </c>
      <c r="C5" s="9" t="s">
        <v>21</v>
      </c>
      <c r="D5" s="9" t="s">
        <v>16</v>
      </c>
      <c r="E5" s="13">
        <v>45076</v>
      </c>
      <c r="F5" s="9">
        <v>143</v>
      </c>
      <c r="G5" s="9"/>
      <c r="H5" s="9"/>
      <c r="I5" s="9">
        <f>F5-K174-K186-K193-K220</f>
        <v>0</v>
      </c>
      <c r="J5" s="13"/>
      <c r="K5" s="9"/>
      <c r="L5" s="9"/>
      <c r="M5" s="9"/>
      <c r="N5" s="12"/>
    </row>
    <row r="6" spans="1:14" hidden="1" x14ac:dyDescent="0.25">
      <c r="A6" s="9" t="s">
        <v>23</v>
      </c>
      <c r="B6" s="12" t="s">
        <v>24</v>
      </c>
      <c r="C6" s="9" t="s">
        <v>25</v>
      </c>
      <c r="D6" s="14" t="s">
        <v>16</v>
      </c>
      <c r="E6" s="13">
        <v>45076</v>
      </c>
      <c r="F6" s="9">
        <v>247</v>
      </c>
      <c r="G6" s="9"/>
      <c r="H6" s="9"/>
      <c r="I6" s="9">
        <f>F6-K175-K187-K194-K222-K281</f>
        <v>15</v>
      </c>
      <c r="J6" s="13"/>
      <c r="K6" s="9"/>
      <c r="L6" s="9"/>
      <c r="M6" s="9"/>
      <c r="N6" s="12"/>
    </row>
    <row r="7" spans="1:14" hidden="1" x14ac:dyDescent="0.25">
      <c r="A7" s="9">
        <v>45</v>
      </c>
      <c r="B7" s="12" t="s">
        <v>26</v>
      </c>
      <c r="C7" s="9" t="s">
        <v>27</v>
      </c>
      <c r="D7" s="10" t="s">
        <v>28</v>
      </c>
      <c r="E7" s="13">
        <v>45076</v>
      </c>
      <c r="F7" s="9">
        <v>47</v>
      </c>
      <c r="G7" s="9"/>
      <c r="H7" s="9"/>
      <c r="I7" s="9">
        <f>F7-K230-K282-K302-K312</f>
        <v>0</v>
      </c>
      <c r="J7" s="9"/>
      <c r="K7" s="9"/>
      <c r="L7" s="9"/>
      <c r="M7" s="9"/>
      <c r="N7" s="12"/>
    </row>
    <row r="8" spans="1:14" hidden="1" x14ac:dyDescent="0.25">
      <c r="A8" s="9">
        <v>53</v>
      </c>
      <c r="B8" s="12" t="s">
        <v>29</v>
      </c>
      <c r="C8" s="9" t="s">
        <v>30</v>
      </c>
      <c r="D8" s="9" t="s">
        <v>31</v>
      </c>
      <c r="E8" s="13">
        <v>45076</v>
      </c>
      <c r="F8" s="9">
        <v>52</v>
      </c>
      <c r="G8" s="9"/>
      <c r="H8" s="9"/>
      <c r="I8" s="9">
        <f>F8-K300</f>
        <v>47</v>
      </c>
      <c r="J8" s="9"/>
      <c r="K8" s="9"/>
      <c r="L8" s="9"/>
      <c r="M8" s="9"/>
      <c r="N8" s="12"/>
    </row>
    <row r="9" spans="1:14" hidden="1" x14ac:dyDescent="0.25">
      <c r="A9" s="22">
        <v>48</v>
      </c>
      <c r="B9" s="12" t="s">
        <v>41</v>
      </c>
      <c r="C9" s="9" t="s">
        <v>42</v>
      </c>
      <c r="D9" s="9" t="s">
        <v>43</v>
      </c>
      <c r="E9" s="13">
        <v>45076</v>
      </c>
      <c r="F9" s="9">
        <v>13</v>
      </c>
      <c r="G9" s="9"/>
      <c r="H9" s="9"/>
      <c r="I9" s="9">
        <f t="shared" ref="I9:I11" si="0">F9-K9</f>
        <v>13</v>
      </c>
      <c r="J9" s="9"/>
      <c r="K9" s="9"/>
      <c r="L9" s="9"/>
      <c r="M9" s="9"/>
      <c r="N9" s="12"/>
    </row>
    <row r="10" spans="1:14" hidden="1" x14ac:dyDescent="0.25">
      <c r="A10" s="9">
        <v>49</v>
      </c>
      <c r="B10" s="12" t="s">
        <v>44</v>
      </c>
      <c r="C10" s="9" t="s">
        <v>45</v>
      </c>
      <c r="D10" s="10" t="s">
        <v>31</v>
      </c>
      <c r="E10" s="13">
        <v>45076</v>
      </c>
      <c r="F10" s="9">
        <v>4</v>
      </c>
      <c r="G10" s="9"/>
      <c r="H10" s="9"/>
      <c r="I10" s="9">
        <f t="shared" si="0"/>
        <v>4</v>
      </c>
      <c r="J10" s="9"/>
      <c r="K10" s="9"/>
      <c r="L10" s="9"/>
      <c r="M10" s="9"/>
      <c r="N10" s="12"/>
    </row>
    <row r="11" spans="1:14" hidden="1" x14ac:dyDescent="0.25">
      <c r="A11" s="9">
        <v>50</v>
      </c>
      <c r="B11" s="12" t="s">
        <v>46</v>
      </c>
      <c r="C11" s="18" t="s">
        <v>47</v>
      </c>
      <c r="D11" s="19" t="s">
        <v>16</v>
      </c>
      <c r="E11" s="20">
        <v>45076</v>
      </c>
      <c r="F11" s="9">
        <v>93</v>
      </c>
      <c r="G11" s="9"/>
      <c r="H11" s="9"/>
      <c r="I11" s="9">
        <f t="shared" si="0"/>
        <v>93</v>
      </c>
      <c r="J11" s="9"/>
      <c r="K11" s="9"/>
      <c r="L11" s="9"/>
      <c r="M11" s="9"/>
      <c r="N11" s="12"/>
    </row>
    <row r="12" spans="1:14" hidden="1" x14ac:dyDescent="0.25">
      <c r="A12" s="9">
        <v>51</v>
      </c>
      <c r="B12" s="12" t="s">
        <v>48</v>
      </c>
      <c r="C12" s="18" t="s">
        <v>49</v>
      </c>
      <c r="D12" s="19" t="s">
        <v>16</v>
      </c>
      <c r="E12" s="20">
        <v>45076</v>
      </c>
      <c r="F12" s="9">
        <v>84</v>
      </c>
      <c r="G12" s="9"/>
      <c r="H12" s="9"/>
      <c r="I12" s="9">
        <f>F12-K201-K228-K303</f>
        <v>40</v>
      </c>
      <c r="J12" s="9"/>
      <c r="K12" s="9"/>
      <c r="L12" s="9"/>
      <c r="M12" s="9"/>
      <c r="N12" s="12"/>
    </row>
    <row r="13" spans="1:14" hidden="1" x14ac:dyDescent="0.25">
      <c r="A13" s="22">
        <v>63</v>
      </c>
      <c r="B13" s="12" t="s">
        <v>50</v>
      </c>
      <c r="C13" s="9" t="s">
        <v>51</v>
      </c>
      <c r="D13" s="19" t="s">
        <v>52</v>
      </c>
      <c r="E13" s="23">
        <v>45082</v>
      </c>
      <c r="F13" s="22">
        <v>32</v>
      </c>
      <c r="G13" s="22">
        <v>3</v>
      </c>
      <c r="H13" s="22"/>
      <c r="I13" s="9">
        <f>F13-K202</f>
        <v>31</v>
      </c>
      <c r="J13" s="22"/>
      <c r="K13" s="22"/>
      <c r="L13" s="22"/>
      <c r="M13" s="22"/>
      <c r="N13" s="24" t="s">
        <v>53</v>
      </c>
    </row>
    <row r="14" spans="1:14" hidden="1" x14ac:dyDescent="0.25">
      <c r="A14" s="22">
        <v>64</v>
      </c>
      <c r="B14" s="12" t="s">
        <v>54</v>
      </c>
      <c r="C14" s="18" t="s">
        <v>55</v>
      </c>
      <c r="D14" s="19" t="s">
        <v>52</v>
      </c>
      <c r="E14" s="25">
        <v>45082</v>
      </c>
      <c r="F14" s="22">
        <v>33</v>
      </c>
      <c r="G14" s="22">
        <v>1</v>
      </c>
      <c r="H14" s="22"/>
      <c r="I14" s="9">
        <f>F14-K203</f>
        <v>28</v>
      </c>
      <c r="J14" s="22"/>
      <c r="K14" s="22"/>
      <c r="L14" s="22"/>
      <c r="M14" s="22"/>
      <c r="N14" s="24" t="s">
        <v>53</v>
      </c>
    </row>
    <row r="15" spans="1:14" hidden="1" x14ac:dyDescent="0.25">
      <c r="A15" s="22">
        <v>65</v>
      </c>
      <c r="B15" s="12" t="s">
        <v>56</v>
      </c>
      <c r="C15" s="18" t="s">
        <v>57</v>
      </c>
      <c r="D15" s="19" t="s">
        <v>52</v>
      </c>
      <c r="E15" s="25">
        <v>45082</v>
      </c>
      <c r="F15" s="22">
        <v>30</v>
      </c>
      <c r="G15" s="22">
        <v>5</v>
      </c>
      <c r="H15" s="22"/>
      <c r="I15" s="9">
        <f>F15-K204</f>
        <v>29</v>
      </c>
      <c r="J15" s="22"/>
      <c r="K15" s="22"/>
      <c r="L15" s="22"/>
      <c r="M15" s="22"/>
      <c r="N15" s="24" t="s">
        <v>53</v>
      </c>
    </row>
    <row r="16" spans="1:14" hidden="1" x14ac:dyDescent="0.25">
      <c r="A16" s="22">
        <v>67</v>
      </c>
      <c r="B16" s="12" t="s">
        <v>58</v>
      </c>
      <c r="C16" s="9" t="s">
        <v>59</v>
      </c>
      <c r="D16" s="2" t="s">
        <v>60</v>
      </c>
      <c r="E16" s="23">
        <v>45082</v>
      </c>
      <c r="F16" s="22">
        <v>72</v>
      </c>
      <c r="G16" s="22">
        <v>21</v>
      </c>
      <c r="H16" s="22"/>
      <c r="I16" s="9">
        <f>F16-K16</f>
        <v>0</v>
      </c>
      <c r="J16" s="23">
        <v>45810</v>
      </c>
      <c r="K16" s="22">
        <v>72</v>
      </c>
      <c r="L16" s="9" t="s">
        <v>212</v>
      </c>
      <c r="M16" s="22" t="s">
        <v>567</v>
      </c>
      <c r="N16" s="24" t="s">
        <v>53</v>
      </c>
    </row>
    <row r="17" spans="1:14" hidden="1" x14ac:dyDescent="0.25">
      <c r="A17" s="22">
        <v>52</v>
      </c>
      <c r="B17" s="12" t="s">
        <v>41</v>
      </c>
      <c r="C17" s="9" t="s">
        <v>42</v>
      </c>
      <c r="D17" s="22" t="s">
        <v>61</v>
      </c>
      <c r="E17" s="23">
        <v>45082</v>
      </c>
      <c r="F17" s="22">
        <v>59</v>
      </c>
      <c r="G17" s="22"/>
      <c r="H17" s="22"/>
      <c r="I17" s="9">
        <f>F17-K206</f>
        <v>55</v>
      </c>
      <c r="J17" s="22"/>
      <c r="K17" s="22"/>
      <c r="L17" s="22"/>
      <c r="M17" s="22"/>
      <c r="N17" s="24" t="s">
        <v>53</v>
      </c>
    </row>
    <row r="18" spans="1:14" hidden="1" x14ac:dyDescent="0.25">
      <c r="A18" s="22">
        <v>60</v>
      </c>
      <c r="B18" s="12" t="s">
        <v>62</v>
      </c>
      <c r="C18" s="18" t="s">
        <v>63</v>
      </c>
      <c r="D18" s="26" t="s">
        <v>52</v>
      </c>
      <c r="E18" s="25">
        <v>45082</v>
      </c>
      <c r="F18" s="22">
        <v>35</v>
      </c>
      <c r="G18" s="22"/>
      <c r="H18" s="22"/>
      <c r="I18" s="9">
        <f>F18-K207</f>
        <v>30</v>
      </c>
      <c r="J18" s="22"/>
      <c r="K18" s="22"/>
      <c r="L18" s="22"/>
      <c r="M18" s="22"/>
      <c r="N18" s="24" t="s">
        <v>53</v>
      </c>
    </row>
    <row r="19" spans="1:14" hidden="1" x14ac:dyDescent="0.25">
      <c r="A19" s="22">
        <v>61</v>
      </c>
      <c r="B19" s="12" t="s">
        <v>64</v>
      </c>
      <c r="C19" s="9" t="s">
        <v>65</v>
      </c>
      <c r="D19" s="22" t="s">
        <v>52</v>
      </c>
      <c r="E19" s="23">
        <v>45082</v>
      </c>
      <c r="F19" s="22">
        <v>30</v>
      </c>
      <c r="G19" s="22">
        <v>5</v>
      </c>
      <c r="H19" s="22"/>
      <c r="I19" s="9">
        <f>F19-K213</f>
        <v>0</v>
      </c>
      <c r="J19" s="22"/>
      <c r="K19" s="22"/>
      <c r="L19" s="22"/>
      <c r="M19" s="22"/>
      <c r="N19" s="24" t="s">
        <v>53</v>
      </c>
    </row>
    <row r="20" spans="1:14" hidden="1" x14ac:dyDescent="0.25">
      <c r="A20" s="27">
        <v>62</v>
      </c>
      <c r="B20" s="12" t="s">
        <v>66</v>
      </c>
      <c r="C20" s="18" t="s">
        <v>67</v>
      </c>
      <c r="D20" s="26" t="s">
        <v>52</v>
      </c>
      <c r="E20" s="25">
        <v>45082</v>
      </c>
      <c r="F20" s="22">
        <v>32</v>
      </c>
      <c r="G20" s="22">
        <v>5</v>
      </c>
      <c r="H20" s="22"/>
      <c r="I20" s="9">
        <f>F20-K209</f>
        <v>22</v>
      </c>
      <c r="J20" s="22"/>
      <c r="K20" s="22"/>
      <c r="L20" s="22"/>
      <c r="M20" s="22"/>
      <c r="N20" s="24" t="s">
        <v>53</v>
      </c>
    </row>
    <row r="21" spans="1:14" hidden="1" x14ac:dyDescent="0.25">
      <c r="A21" s="22">
        <v>71</v>
      </c>
      <c r="B21" s="12" t="s">
        <v>68</v>
      </c>
      <c r="C21" s="18" t="s">
        <v>69</v>
      </c>
      <c r="D21" s="19" t="s">
        <v>16</v>
      </c>
      <c r="E21" s="25">
        <v>45091</v>
      </c>
      <c r="F21" s="22">
        <v>16</v>
      </c>
      <c r="G21" s="22"/>
      <c r="H21" s="22">
        <v>15</v>
      </c>
      <c r="I21" s="9">
        <f>F21-K197-K283</f>
        <v>0</v>
      </c>
      <c r="J21" s="22"/>
      <c r="K21" s="22"/>
      <c r="L21" s="22"/>
      <c r="M21" s="22"/>
      <c r="N21" s="24"/>
    </row>
    <row r="22" spans="1:14" hidden="1" x14ac:dyDescent="0.25">
      <c r="A22" s="22">
        <v>72</v>
      </c>
      <c r="B22" s="12" t="s">
        <v>68</v>
      </c>
      <c r="C22" s="18" t="s">
        <v>69</v>
      </c>
      <c r="D22" s="19" t="s">
        <v>16</v>
      </c>
      <c r="E22" s="25">
        <v>45091</v>
      </c>
      <c r="F22" s="22">
        <v>70</v>
      </c>
      <c r="G22" s="22"/>
      <c r="H22" s="22">
        <v>26</v>
      </c>
      <c r="I22" s="9">
        <f>F22-K284</f>
        <v>0</v>
      </c>
      <c r="J22" s="22"/>
      <c r="K22" s="22"/>
      <c r="L22" s="22"/>
      <c r="M22" s="22"/>
      <c r="N22" s="24"/>
    </row>
    <row r="23" spans="1:14" hidden="1" x14ac:dyDescent="0.25">
      <c r="A23" s="22">
        <v>66</v>
      </c>
      <c r="B23" s="12" t="s">
        <v>70</v>
      </c>
      <c r="C23" s="9" t="s">
        <v>71</v>
      </c>
      <c r="D23" s="28" t="s">
        <v>72</v>
      </c>
      <c r="E23" s="23">
        <v>45091</v>
      </c>
      <c r="F23" s="22">
        <v>93</v>
      </c>
      <c r="G23" s="22"/>
      <c r="H23" s="22"/>
      <c r="I23" s="9">
        <f>F23-K239-K263-K272-K287</f>
        <v>0</v>
      </c>
      <c r="J23" s="22"/>
      <c r="K23" s="22"/>
      <c r="L23" s="22"/>
      <c r="M23" s="22"/>
      <c r="N23" s="24"/>
    </row>
    <row r="24" spans="1:14" hidden="1" x14ac:dyDescent="0.25">
      <c r="A24" s="9" t="s">
        <v>35</v>
      </c>
      <c r="B24" s="12" t="s">
        <v>73</v>
      </c>
      <c r="C24" s="9"/>
      <c r="D24" s="10"/>
      <c r="E24" s="13">
        <v>45105</v>
      </c>
      <c r="F24" s="9">
        <v>10</v>
      </c>
      <c r="G24" s="9"/>
      <c r="H24" s="9"/>
      <c r="I24" s="9">
        <f>F24-K182</f>
        <v>0</v>
      </c>
      <c r="J24" s="13"/>
      <c r="K24" s="9"/>
      <c r="L24" s="9"/>
      <c r="M24" s="9"/>
      <c r="N24" s="12"/>
    </row>
    <row r="25" spans="1:14" ht="13.5" hidden="1" customHeight="1" x14ac:dyDescent="0.25">
      <c r="A25" s="22"/>
      <c r="B25" s="24" t="s">
        <v>74</v>
      </c>
      <c r="C25" s="22" t="s">
        <v>75</v>
      </c>
      <c r="D25" s="22"/>
      <c r="E25" s="23">
        <v>45105</v>
      </c>
      <c r="F25" s="22">
        <v>1</v>
      </c>
      <c r="G25" s="22"/>
      <c r="H25" s="22">
        <v>2</v>
      </c>
      <c r="I25" s="9">
        <f>F25</f>
        <v>1</v>
      </c>
      <c r="J25" s="22"/>
      <c r="K25" s="22"/>
      <c r="L25" s="22"/>
      <c r="M25" s="22"/>
      <c r="N25" s="29" t="s">
        <v>76</v>
      </c>
    </row>
    <row r="26" spans="1:14" hidden="1" x14ac:dyDescent="0.25">
      <c r="A26" s="22" t="s">
        <v>35</v>
      </c>
      <c r="B26" s="12" t="s">
        <v>48</v>
      </c>
      <c r="C26" s="22" t="s">
        <v>77</v>
      </c>
      <c r="E26" s="23">
        <v>45112</v>
      </c>
      <c r="F26" s="22">
        <v>33</v>
      </c>
      <c r="G26" s="22"/>
      <c r="H26" s="22"/>
      <c r="I26" s="9">
        <f>F26-K358-K367</f>
        <v>7</v>
      </c>
      <c r="J26" s="22"/>
      <c r="K26" s="22"/>
      <c r="L26" s="22"/>
      <c r="M26" s="22"/>
      <c r="N26" s="29"/>
    </row>
    <row r="27" spans="1:14" hidden="1" x14ac:dyDescent="0.25">
      <c r="A27" s="9">
        <v>57</v>
      </c>
      <c r="B27" s="12" t="s">
        <v>20</v>
      </c>
      <c r="C27" s="18" t="s">
        <v>21</v>
      </c>
      <c r="D27" s="19" t="s">
        <v>16</v>
      </c>
      <c r="E27" s="25">
        <v>45112</v>
      </c>
      <c r="F27" s="22">
        <v>180</v>
      </c>
      <c r="G27" s="22"/>
      <c r="H27" s="22"/>
      <c r="I27" s="9">
        <f>F27-K221-K242-K278</f>
        <v>0</v>
      </c>
      <c r="J27" s="22"/>
      <c r="K27" s="22"/>
      <c r="L27" s="22"/>
      <c r="M27" s="22"/>
      <c r="N27" s="29"/>
    </row>
    <row r="28" spans="1:14" hidden="1" x14ac:dyDescent="0.25">
      <c r="A28" s="9">
        <v>85</v>
      </c>
      <c r="B28" s="12" t="s">
        <v>46</v>
      </c>
      <c r="C28" s="18" t="s">
        <v>78</v>
      </c>
      <c r="D28" s="19" t="s">
        <v>16</v>
      </c>
      <c r="E28" s="25">
        <v>45112</v>
      </c>
      <c r="F28" s="22">
        <v>23</v>
      </c>
      <c r="G28" s="22"/>
      <c r="H28" s="22"/>
      <c r="I28" s="9">
        <f>F28-K195-K292</f>
        <v>0</v>
      </c>
      <c r="J28" s="22"/>
      <c r="K28" s="22"/>
      <c r="L28" s="22"/>
      <c r="M28" s="22"/>
      <c r="N28" s="29"/>
    </row>
    <row r="29" spans="1:14" hidden="1" x14ac:dyDescent="0.25">
      <c r="A29" s="9">
        <v>86</v>
      </c>
      <c r="B29" s="12" t="s">
        <v>46</v>
      </c>
      <c r="C29" s="18" t="s">
        <v>78</v>
      </c>
      <c r="D29" s="19" t="s">
        <v>16</v>
      </c>
      <c r="E29" s="25">
        <v>45112</v>
      </c>
      <c r="F29" s="22">
        <v>109</v>
      </c>
      <c r="G29" s="22"/>
      <c r="H29" s="22"/>
      <c r="I29" s="9">
        <f>F29-K293</f>
        <v>0</v>
      </c>
      <c r="J29" s="22"/>
      <c r="K29" s="22"/>
      <c r="L29" s="22"/>
      <c r="M29" s="22"/>
      <c r="N29" s="29"/>
    </row>
    <row r="30" spans="1:14" hidden="1" x14ac:dyDescent="0.25">
      <c r="A30" s="9">
        <v>68</v>
      </c>
      <c r="B30" s="12" t="s">
        <v>80</v>
      </c>
      <c r="C30" s="18" t="s">
        <v>81</v>
      </c>
      <c r="D30" s="19" t="s">
        <v>16</v>
      </c>
      <c r="E30" s="25">
        <v>45112</v>
      </c>
      <c r="F30" s="22">
        <v>92</v>
      </c>
      <c r="G30" s="22"/>
      <c r="H30" s="22"/>
      <c r="I30" s="9">
        <f>F30-K30</f>
        <v>92</v>
      </c>
      <c r="J30" s="22"/>
      <c r="K30" s="22"/>
      <c r="L30" s="22"/>
      <c r="M30" s="22"/>
      <c r="N30" s="29"/>
    </row>
    <row r="31" spans="1:14" hidden="1" x14ac:dyDescent="0.25">
      <c r="A31" s="9">
        <v>83</v>
      </c>
      <c r="B31" s="12" t="s">
        <v>82</v>
      </c>
      <c r="C31" s="18" t="s">
        <v>83</v>
      </c>
      <c r="D31" s="19" t="s">
        <v>16</v>
      </c>
      <c r="E31" s="25">
        <v>45112</v>
      </c>
      <c r="F31" s="22">
        <v>49</v>
      </c>
      <c r="G31" s="22"/>
      <c r="H31" s="22"/>
      <c r="I31" s="9">
        <f>F31-K196-K218-K340-K349-K362</f>
        <v>0</v>
      </c>
      <c r="J31" s="22"/>
      <c r="K31" s="22"/>
      <c r="L31" s="22"/>
      <c r="M31" s="22"/>
      <c r="N31" s="29"/>
    </row>
    <row r="32" spans="1:14" hidden="1" x14ac:dyDescent="0.25">
      <c r="A32" s="9">
        <v>84</v>
      </c>
      <c r="B32" s="12" t="s">
        <v>82</v>
      </c>
      <c r="C32" s="18" t="s">
        <v>83</v>
      </c>
      <c r="D32" s="19" t="s">
        <v>16</v>
      </c>
      <c r="E32" s="25">
        <v>45112</v>
      </c>
      <c r="F32" s="22">
        <v>71</v>
      </c>
      <c r="G32" s="22"/>
      <c r="H32" s="22"/>
      <c r="I32" s="9">
        <f>F32-K363-K386-K395-K396-K400-K401-K402</f>
        <v>0</v>
      </c>
      <c r="J32" s="22"/>
      <c r="K32" s="22"/>
      <c r="L32" s="22"/>
      <c r="M32" s="22"/>
      <c r="N32" s="29"/>
    </row>
    <row r="33" spans="1:14" hidden="1" x14ac:dyDescent="0.25">
      <c r="A33" s="7">
        <v>55</v>
      </c>
      <c r="B33" s="8" t="s">
        <v>14</v>
      </c>
      <c r="C33" s="18" t="s">
        <v>86</v>
      </c>
      <c r="D33" s="19" t="s">
        <v>16</v>
      </c>
      <c r="E33" s="30">
        <v>45117</v>
      </c>
      <c r="F33" s="7">
        <v>272</v>
      </c>
      <c r="G33" s="7"/>
      <c r="H33" s="7"/>
      <c r="I33" s="9">
        <f>F33-K191-K223-K244-K280</f>
        <v>0</v>
      </c>
      <c r="J33" s="11"/>
      <c r="K33" s="7"/>
      <c r="L33" s="9"/>
      <c r="M33" s="9"/>
      <c r="N33" s="8"/>
    </row>
    <row r="34" spans="1:14" hidden="1" x14ac:dyDescent="0.25">
      <c r="A34" s="9">
        <v>56</v>
      </c>
      <c r="B34" s="12" t="s">
        <v>17</v>
      </c>
      <c r="C34" s="18" t="s">
        <v>18</v>
      </c>
      <c r="D34" s="19" t="s">
        <v>16</v>
      </c>
      <c r="E34" s="20">
        <v>45118</v>
      </c>
      <c r="F34" s="9">
        <v>267</v>
      </c>
      <c r="G34" s="9"/>
      <c r="H34" s="9"/>
      <c r="I34" s="9">
        <f>F34-K245-K260-K277-K373</f>
        <v>16</v>
      </c>
      <c r="J34" s="13"/>
      <c r="K34" s="9"/>
      <c r="L34" s="9"/>
      <c r="M34" s="9"/>
      <c r="N34" s="12"/>
    </row>
    <row r="35" spans="1:14" hidden="1" x14ac:dyDescent="0.25">
      <c r="A35" s="9">
        <v>69</v>
      </c>
      <c r="B35" s="12" t="s">
        <v>87</v>
      </c>
      <c r="C35" s="18" t="s">
        <v>88</v>
      </c>
      <c r="D35" s="19" t="s">
        <v>16</v>
      </c>
      <c r="E35" s="20">
        <v>45118</v>
      </c>
      <c r="F35" s="9">
        <v>197</v>
      </c>
      <c r="G35" s="9"/>
      <c r="H35" s="9"/>
      <c r="I35" s="9">
        <f>F35-K209-K315-K328-K343-K399-K408</f>
        <v>158</v>
      </c>
      <c r="J35" s="13"/>
      <c r="K35" s="9"/>
      <c r="L35" s="9"/>
      <c r="M35" s="9"/>
      <c r="N35" s="12"/>
    </row>
    <row r="36" spans="1:14" hidden="1" x14ac:dyDescent="0.25">
      <c r="A36" s="9">
        <v>91</v>
      </c>
      <c r="B36" s="12" t="s">
        <v>89</v>
      </c>
      <c r="C36" s="18" t="s">
        <v>90</v>
      </c>
      <c r="D36" s="19" t="s">
        <v>16</v>
      </c>
      <c r="E36" s="20">
        <v>45173</v>
      </c>
      <c r="F36" s="9">
        <v>19</v>
      </c>
      <c r="G36" s="9">
        <v>1</v>
      </c>
      <c r="H36" s="9"/>
      <c r="I36" s="9">
        <f t="shared" ref="I36:I38" si="1">F36</f>
        <v>19</v>
      </c>
      <c r="J36" s="13"/>
      <c r="K36" s="9"/>
      <c r="L36" s="9"/>
      <c r="M36" s="9"/>
      <c r="N36" s="12"/>
    </row>
    <row r="37" spans="1:14" hidden="1" x14ac:dyDescent="0.25">
      <c r="A37" s="9">
        <v>92</v>
      </c>
      <c r="B37" s="12" t="s">
        <v>91</v>
      </c>
      <c r="C37" s="18" t="s">
        <v>92</v>
      </c>
      <c r="D37" s="19" t="s">
        <v>16</v>
      </c>
      <c r="E37" s="20">
        <v>45173</v>
      </c>
      <c r="F37" s="9">
        <v>18</v>
      </c>
      <c r="G37" s="9">
        <v>1</v>
      </c>
      <c r="H37" s="9">
        <v>1</v>
      </c>
      <c r="I37" s="9">
        <f t="shared" si="1"/>
        <v>18</v>
      </c>
      <c r="J37" s="13"/>
      <c r="K37" s="9"/>
      <c r="L37" s="9"/>
      <c r="M37" s="9"/>
      <c r="N37" s="12"/>
    </row>
    <row r="38" spans="1:14" hidden="1" x14ac:dyDescent="0.25">
      <c r="A38" s="9">
        <v>93</v>
      </c>
      <c r="B38" s="12" t="s">
        <v>93</v>
      </c>
      <c r="C38" s="18" t="s">
        <v>94</v>
      </c>
      <c r="D38" s="19" t="s">
        <v>16</v>
      </c>
      <c r="E38" s="20">
        <v>45173</v>
      </c>
      <c r="F38" s="9">
        <v>13</v>
      </c>
      <c r="G38" s="9">
        <v>3</v>
      </c>
      <c r="H38" s="9">
        <v>4</v>
      </c>
      <c r="I38" s="9">
        <f t="shared" si="1"/>
        <v>13</v>
      </c>
      <c r="J38" s="13"/>
      <c r="K38" s="9"/>
      <c r="L38" s="9"/>
      <c r="M38" s="9"/>
      <c r="N38" s="12"/>
    </row>
    <row r="39" spans="1:14" hidden="1" x14ac:dyDescent="0.25">
      <c r="A39" s="9">
        <v>94</v>
      </c>
      <c r="B39" s="12" t="s">
        <v>95</v>
      </c>
      <c r="C39" s="18" t="s">
        <v>96</v>
      </c>
      <c r="D39" s="19" t="s">
        <v>16</v>
      </c>
      <c r="E39" s="20">
        <v>45173</v>
      </c>
      <c r="F39" s="9">
        <v>13</v>
      </c>
      <c r="G39" s="9">
        <v>2</v>
      </c>
      <c r="H39" s="9">
        <v>5</v>
      </c>
      <c r="I39" s="9">
        <f>F39-K198</f>
        <v>12</v>
      </c>
      <c r="J39" s="13"/>
      <c r="K39" s="9"/>
      <c r="L39" s="9"/>
      <c r="M39" s="9"/>
      <c r="N39" s="12"/>
    </row>
    <row r="40" spans="1:14" hidden="1" x14ac:dyDescent="0.25">
      <c r="A40" s="9">
        <v>98</v>
      </c>
      <c r="B40" s="8" t="s">
        <v>97</v>
      </c>
      <c r="C40" s="18" t="s">
        <v>98</v>
      </c>
      <c r="D40" s="19" t="s">
        <v>16</v>
      </c>
      <c r="E40" s="20">
        <v>45173</v>
      </c>
      <c r="F40" s="9">
        <v>46</v>
      </c>
      <c r="G40" s="9"/>
      <c r="H40" s="9"/>
      <c r="I40" s="9">
        <f>F40-K203-K235-K237-K240-K253</f>
        <v>0</v>
      </c>
      <c r="J40" s="31"/>
      <c r="K40" s="31"/>
      <c r="L40" s="9"/>
      <c r="M40" s="9"/>
      <c r="N40" s="12"/>
    </row>
    <row r="41" spans="1:14" hidden="1" x14ac:dyDescent="0.25">
      <c r="A41" s="9">
        <v>99</v>
      </c>
      <c r="B41" s="8" t="s">
        <v>99</v>
      </c>
      <c r="C41" s="18" t="s">
        <v>98</v>
      </c>
      <c r="D41" s="19" t="s">
        <v>16</v>
      </c>
      <c r="E41" s="20">
        <v>45173</v>
      </c>
      <c r="F41" s="9">
        <v>148</v>
      </c>
      <c r="G41" s="31"/>
      <c r="H41" s="31"/>
      <c r="I41" s="9">
        <f>F41-K299-K313-K274-K333-K427-K428</f>
        <v>49</v>
      </c>
      <c r="J41" s="31"/>
      <c r="K41" s="31"/>
      <c r="L41" s="9"/>
      <c r="M41" s="9"/>
      <c r="N41" s="12" t="s">
        <v>666</v>
      </c>
    </row>
    <row r="42" spans="1:14" hidden="1" x14ac:dyDescent="0.25">
      <c r="A42" s="9">
        <v>100</v>
      </c>
      <c r="B42" s="12" t="s">
        <v>100</v>
      </c>
      <c r="C42" s="18" t="s">
        <v>78</v>
      </c>
      <c r="D42" s="19" t="s">
        <v>16</v>
      </c>
      <c r="E42" s="20">
        <v>45173</v>
      </c>
      <c r="F42" s="9">
        <v>176</v>
      </c>
      <c r="G42" s="31"/>
      <c r="H42" s="31"/>
      <c r="I42" s="9">
        <f>F42-K294</f>
        <v>0</v>
      </c>
      <c r="J42" s="31"/>
      <c r="K42" s="31"/>
      <c r="L42" s="9"/>
      <c r="M42" s="9"/>
      <c r="N42" s="12"/>
    </row>
    <row r="43" spans="1:14" hidden="1" x14ac:dyDescent="0.25">
      <c r="A43" s="9">
        <v>101</v>
      </c>
      <c r="B43" s="12" t="s">
        <v>101</v>
      </c>
      <c r="C43" s="18" t="s">
        <v>78</v>
      </c>
      <c r="D43" s="19" t="s">
        <v>16</v>
      </c>
      <c r="E43" s="20">
        <v>45173</v>
      </c>
      <c r="F43" s="9">
        <v>63</v>
      </c>
      <c r="G43" s="31"/>
      <c r="H43" s="31"/>
      <c r="I43" s="9">
        <f>F43-K208-K232</f>
        <v>0</v>
      </c>
      <c r="J43" s="31"/>
      <c r="K43" s="31"/>
      <c r="L43" s="9"/>
      <c r="M43" s="9"/>
      <c r="N43" s="12"/>
    </row>
    <row r="44" spans="1:14" hidden="1" x14ac:dyDescent="0.25">
      <c r="A44" s="9">
        <v>102</v>
      </c>
      <c r="B44" s="12" t="s">
        <v>101</v>
      </c>
      <c r="C44" s="18" t="s">
        <v>78</v>
      </c>
      <c r="D44" s="19" t="s">
        <v>16</v>
      </c>
      <c r="E44" s="20">
        <v>45173</v>
      </c>
      <c r="F44" s="9">
        <v>96</v>
      </c>
      <c r="G44" s="31"/>
      <c r="H44" s="31"/>
      <c r="I44" s="9">
        <f>F44-K233</f>
        <v>0</v>
      </c>
      <c r="J44" s="31"/>
      <c r="K44" s="31"/>
      <c r="L44" s="9"/>
      <c r="M44" s="9"/>
      <c r="N44" s="12"/>
    </row>
    <row r="45" spans="1:14" hidden="1" x14ac:dyDescent="0.25">
      <c r="A45" s="9">
        <v>103</v>
      </c>
      <c r="B45" s="12" t="s">
        <v>100</v>
      </c>
      <c r="C45" s="18" t="s">
        <v>78</v>
      </c>
      <c r="D45" s="19" t="s">
        <v>16</v>
      </c>
      <c r="E45" s="20">
        <v>45173</v>
      </c>
      <c r="F45" s="9">
        <v>73</v>
      </c>
      <c r="G45" s="31"/>
      <c r="H45" s="31"/>
      <c r="I45" s="9">
        <f>F45-K295</f>
        <v>0</v>
      </c>
      <c r="J45" s="31"/>
      <c r="K45" s="31"/>
      <c r="L45" s="9"/>
      <c r="M45" s="9"/>
      <c r="N45" s="12"/>
    </row>
    <row r="46" spans="1:14" hidden="1" x14ac:dyDescent="0.25">
      <c r="A46" s="9">
        <v>104</v>
      </c>
      <c r="B46" s="12" t="s">
        <v>100</v>
      </c>
      <c r="C46" s="18" t="s">
        <v>78</v>
      </c>
      <c r="D46" s="19" t="s">
        <v>16</v>
      </c>
      <c r="E46" s="20">
        <v>45173</v>
      </c>
      <c r="F46" s="9">
        <v>65</v>
      </c>
      <c r="G46" s="31"/>
      <c r="H46" s="31"/>
      <c r="I46" s="9">
        <f>F46-K296</f>
        <v>0</v>
      </c>
      <c r="J46" s="31"/>
      <c r="K46" s="31"/>
      <c r="L46" s="9"/>
      <c r="M46" s="9"/>
      <c r="N46" s="12"/>
    </row>
    <row r="47" spans="1:14" hidden="1" x14ac:dyDescent="0.25">
      <c r="A47" s="9">
        <v>105</v>
      </c>
      <c r="B47" s="12" t="s">
        <v>101</v>
      </c>
      <c r="C47" s="18" t="s">
        <v>78</v>
      </c>
      <c r="D47" s="19" t="s">
        <v>16</v>
      </c>
      <c r="E47" s="20">
        <v>45173</v>
      </c>
      <c r="F47" s="9">
        <v>101</v>
      </c>
      <c r="G47" s="31"/>
      <c r="H47" s="31"/>
      <c r="I47" s="9">
        <f>F47-K234-K297-K311-K326-K309-K331-K341</f>
        <v>0</v>
      </c>
      <c r="J47" s="31"/>
      <c r="K47" s="31"/>
      <c r="L47" s="9"/>
      <c r="M47" s="9"/>
      <c r="N47" s="12"/>
    </row>
    <row r="48" spans="1:14" hidden="1" x14ac:dyDescent="0.25">
      <c r="A48" s="9">
        <v>73</v>
      </c>
      <c r="B48" s="12" t="s">
        <v>102</v>
      </c>
      <c r="C48" s="9" t="s">
        <v>103</v>
      </c>
      <c r="D48" s="7" t="s">
        <v>104</v>
      </c>
      <c r="E48" s="13">
        <v>45181</v>
      </c>
      <c r="F48" s="9">
        <v>8</v>
      </c>
      <c r="G48" s="31"/>
      <c r="H48" s="31"/>
      <c r="I48" s="9">
        <f>F48-K207-K452</f>
        <v>2</v>
      </c>
      <c r="J48" s="31"/>
      <c r="K48" s="31"/>
      <c r="L48" s="9"/>
      <c r="M48" s="9"/>
      <c r="N48" s="12"/>
    </row>
    <row r="49" spans="1:14" hidden="1" x14ac:dyDescent="0.25">
      <c r="A49" s="9">
        <v>74</v>
      </c>
      <c r="B49" s="12" t="s">
        <v>105</v>
      </c>
      <c r="C49" s="18" t="s">
        <v>106</v>
      </c>
      <c r="D49" s="19" t="s">
        <v>104</v>
      </c>
      <c r="E49" s="20">
        <v>45181</v>
      </c>
      <c r="F49" s="9">
        <v>10</v>
      </c>
      <c r="G49" s="9">
        <v>1</v>
      </c>
      <c r="H49" s="9">
        <v>1</v>
      </c>
      <c r="I49" s="9">
        <f>F49-G49-H49-K204</f>
        <v>7</v>
      </c>
      <c r="J49" s="31"/>
      <c r="K49" s="31"/>
      <c r="L49" s="9"/>
      <c r="M49" s="9"/>
      <c r="N49" s="12"/>
    </row>
    <row r="50" spans="1:14" hidden="1" x14ac:dyDescent="0.25">
      <c r="A50" s="9">
        <v>75</v>
      </c>
      <c r="B50" s="12" t="s">
        <v>107</v>
      </c>
      <c r="C50" s="18" t="s">
        <v>108</v>
      </c>
      <c r="D50" s="19" t="s">
        <v>104</v>
      </c>
      <c r="E50" s="20">
        <v>45181</v>
      </c>
      <c r="F50" s="9">
        <v>7</v>
      </c>
      <c r="G50" s="9">
        <v>3</v>
      </c>
      <c r="H50" s="31"/>
      <c r="I50" s="9">
        <f>F50-K219-K448</f>
        <v>0</v>
      </c>
      <c r="J50" s="31"/>
      <c r="K50" s="31"/>
      <c r="L50" s="9"/>
      <c r="M50" s="9"/>
      <c r="N50" s="12"/>
    </row>
    <row r="51" spans="1:14" hidden="1" x14ac:dyDescent="0.25">
      <c r="A51" s="9">
        <v>76</v>
      </c>
      <c r="B51" s="12" t="s">
        <v>109</v>
      </c>
      <c r="C51" s="18" t="s">
        <v>110</v>
      </c>
      <c r="D51" s="19" t="s">
        <v>104</v>
      </c>
      <c r="E51" s="20">
        <v>45181</v>
      </c>
      <c r="F51" s="9">
        <v>6</v>
      </c>
      <c r="G51" s="31"/>
      <c r="H51" s="9">
        <v>2</v>
      </c>
      <c r="I51" s="9">
        <f>F51-K269</f>
        <v>1</v>
      </c>
      <c r="J51" s="31"/>
      <c r="K51" s="31"/>
      <c r="L51" s="9"/>
      <c r="M51" s="9"/>
      <c r="N51" s="12"/>
    </row>
    <row r="52" spans="1:14" hidden="1" x14ac:dyDescent="0.25">
      <c r="A52" s="9">
        <v>77</v>
      </c>
      <c r="B52" s="12" t="s">
        <v>111</v>
      </c>
      <c r="C52" s="9" t="s">
        <v>112</v>
      </c>
      <c r="D52" s="32" t="s">
        <v>104</v>
      </c>
      <c r="E52" s="13">
        <v>45181</v>
      </c>
      <c r="F52" s="9">
        <v>9</v>
      </c>
      <c r="G52" s="31"/>
      <c r="H52" s="31"/>
      <c r="I52" s="9">
        <f>F52</f>
        <v>9</v>
      </c>
      <c r="J52" s="31"/>
      <c r="K52" s="31"/>
      <c r="L52" s="9"/>
      <c r="M52" s="9"/>
      <c r="N52" s="12"/>
    </row>
    <row r="53" spans="1:14" hidden="1" x14ac:dyDescent="0.25">
      <c r="A53" s="9">
        <v>108</v>
      </c>
      <c r="B53" s="12" t="s">
        <v>102</v>
      </c>
      <c r="C53" s="18" t="s">
        <v>103</v>
      </c>
      <c r="D53" s="19" t="s">
        <v>113</v>
      </c>
      <c r="E53" s="20">
        <v>45181</v>
      </c>
      <c r="F53" s="9">
        <v>10</v>
      </c>
      <c r="G53" s="31"/>
      <c r="H53" s="31"/>
      <c r="I53" s="9">
        <f>F53-K266-K323</f>
        <v>0</v>
      </c>
      <c r="J53" s="31"/>
      <c r="K53" s="31"/>
      <c r="L53" s="9"/>
      <c r="M53" s="9"/>
      <c r="N53" s="12"/>
    </row>
    <row r="54" spans="1:14" hidden="1" x14ac:dyDescent="0.25">
      <c r="A54" s="9">
        <v>109</v>
      </c>
      <c r="B54" s="12" t="s">
        <v>105</v>
      </c>
      <c r="C54" s="18" t="s">
        <v>114</v>
      </c>
      <c r="D54" s="19" t="s">
        <v>113</v>
      </c>
      <c r="E54" s="20">
        <v>45181</v>
      </c>
      <c r="F54" s="9">
        <v>10</v>
      </c>
      <c r="G54" s="31"/>
      <c r="H54" s="31"/>
      <c r="I54" s="9">
        <f>F54-K205-K267</f>
        <v>6</v>
      </c>
      <c r="J54" s="31"/>
      <c r="K54" s="31"/>
      <c r="L54" s="9"/>
      <c r="M54" s="9"/>
      <c r="N54" s="12"/>
    </row>
    <row r="55" spans="1:14" hidden="1" x14ac:dyDescent="0.25">
      <c r="A55" s="9">
        <v>110</v>
      </c>
      <c r="B55" s="12" t="s">
        <v>107</v>
      </c>
      <c r="C55" s="18" t="s">
        <v>115</v>
      </c>
      <c r="D55" s="19" t="s">
        <v>113</v>
      </c>
      <c r="E55" s="20">
        <v>45181</v>
      </c>
      <c r="F55" s="9">
        <v>10</v>
      </c>
      <c r="G55" s="31"/>
      <c r="H55" s="31"/>
      <c r="I55" s="9">
        <f>F55-K268-K449</f>
        <v>1</v>
      </c>
      <c r="J55" s="31"/>
      <c r="K55" s="31"/>
      <c r="L55" s="9"/>
      <c r="M55" s="9"/>
      <c r="N55" s="12"/>
    </row>
    <row r="56" spans="1:14" hidden="1" x14ac:dyDescent="0.25">
      <c r="A56" s="22">
        <v>112</v>
      </c>
      <c r="B56" s="12" t="s">
        <v>111</v>
      </c>
      <c r="C56" s="18" t="s">
        <v>116</v>
      </c>
      <c r="D56" s="19" t="s">
        <v>113</v>
      </c>
      <c r="E56" s="20">
        <v>45181</v>
      </c>
      <c r="F56" s="9">
        <v>10</v>
      </c>
      <c r="G56" s="31"/>
      <c r="H56" s="31"/>
      <c r="I56" s="9">
        <f>F56-K270</f>
        <v>5</v>
      </c>
      <c r="J56" s="31"/>
      <c r="K56" s="31"/>
      <c r="L56" s="9"/>
      <c r="M56" s="9"/>
      <c r="N56" s="12"/>
    </row>
    <row r="57" spans="1:14" hidden="1" x14ac:dyDescent="0.25">
      <c r="A57" s="22">
        <v>124</v>
      </c>
      <c r="B57" s="12" t="s">
        <v>117</v>
      </c>
      <c r="C57" s="18" t="s">
        <v>118</v>
      </c>
      <c r="D57" s="19" t="s">
        <v>16</v>
      </c>
      <c r="E57" s="20">
        <v>45195</v>
      </c>
      <c r="F57" s="9">
        <v>9</v>
      </c>
      <c r="G57" s="31"/>
      <c r="H57" s="31"/>
      <c r="I57" s="9">
        <f>F57-K199</f>
        <v>7</v>
      </c>
      <c r="J57" s="31"/>
      <c r="K57" s="31"/>
      <c r="L57" s="9"/>
      <c r="M57" s="9"/>
      <c r="N57" s="12" t="s">
        <v>119</v>
      </c>
    </row>
    <row r="58" spans="1:14" hidden="1" x14ac:dyDescent="0.25">
      <c r="A58" s="22">
        <v>125</v>
      </c>
      <c r="B58" s="12" t="s">
        <v>120</v>
      </c>
      <c r="C58" s="18" t="s">
        <v>121</v>
      </c>
      <c r="D58" s="19" t="s">
        <v>16</v>
      </c>
      <c r="E58" s="20">
        <v>45195</v>
      </c>
      <c r="F58" s="9">
        <v>10</v>
      </c>
      <c r="G58" s="31"/>
      <c r="H58" s="31"/>
      <c r="I58" s="9">
        <f>F58-K200</f>
        <v>9</v>
      </c>
      <c r="J58" s="31"/>
      <c r="K58" s="31"/>
      <c r="L58" s="9"/>
      <c r="M58" s="9"/>
      <c r="N58" s="12" t="s">
        <v>119</v>
      </c>
    </row>
    <row r="59" spans="1:14" hidden="1" x14ac:dyDescent="0.25">
      <c r="A59" s="22">
        <v>129</v>
      </c>
      <c r="B59" s="12" t="s">
        <v>68</v>
      </c>
      <c r="C59" s="18" t="s">
        <v>69</v>
      </c>
      <c r="D59" s="19" t="s">
        <v>16</v>
      </c>
      <c r="E59" s="20">
        <v>45216</v>
      </c>
      <c r="F59" s="9">
        <v>211</v>
      </c>
      <c r="G59" s="9">
        <v>1</v>
      </c>
      <c r="H59" s="31"/>
      <c r="I59" s="9">
        <f>F59-K285-K335-K348-K409-K439-K459-K472</f>
        <v>42</v>
      </c>
      <c r="J59" s="31"/>
      <c r="K59" s="31"/>
      <c r="L59" s="9"/>
      <c r="M59" s="9"/>
      <c r="N59" s="12"/>
    </row>
    <row r="60" spans="1:14" hidden="1" x14ac:dyDescent="0.25">
      <c r="A60" s="22">
        <v>136</v>
      </c>
      <c r="B60" s="12" t="s">
        <v>14</v>
      </c>
      <c r="C60" s="18" t="s">
        <v>122</v>
      </c>
      <c r="D60" s="19" t="s">
        <v>16</v>
      </c>
      <c r="E60" s="20">
        <v>45216</v>
      </c>
      <c r="F60" s="9">
        <v>198</v>
      </c>
      <c r="G60" s="9"/>
      <c r="H60" s="31"/>
      <c r="I60" s="9">
        <f>F60-K217-K259-K290-K321-K372</f>
        <v>3</v>
      </c>
      <c r="J60" s="31"/>
      <c r="K60" s="31"/>
      <c r="L60" s="9"/>
      <c r="M60" s="9"/>
      <c r="N60" s="12"/>
    </row>
    <row r="61" spans="1:14" hidden="1" x14ac:dyDescent="0.25">
      <c r="A61" s="22">
        <v>374</v>
      </c>
      <c r="B61" s="12" t="s">
        <v>123</v>
      </c>
      <c r="C61" s="9" t="s">
        <v>110</v>
      </c>
      <c r="D61" s="33"/>
      <c r="E61" s="13">
        <v>45216</v>
      </c>
      <c r="F61" s="9">
        <v>5</v>
      </c>
      <c r="G61" s="9"/>
      <c r="H61" s="31"/>
      <c r="I61" s="9">
        <f>F61</f>
        <v>5</v>
      </c>
      <c r="J61" s="31"/>
      <c r="K61" s="31"/>
      <c r="L61" s="9"/>
      <c r="M61" s="9"/>
      <c r="N61" s="12" t="s">
        <v>124</v>
      </c>
    </row>
    <row r="62" spans="1:14" hidden="1" x14ac:dyDescent="0.25">
      <c r="A62" s="41">
        <v>134</v>
      </c>
      <c r="B62" s="42" t="s">
        <v>125</v>
      </c>
      <c r="C62" s="43" t="s">
        <v>126</v>
      </c>
      <c r="D62" s="53" t="s">
        <v>16</v>
      </c>
      <c r="E62" s="72">
        <v>45219</v>
      </c>
      <c r="F62" s="32">
        <v>40</v>
      </c>
      <c r="G62" s="32"/>
      <c r="H62" s="36"/>
      <c r="I62" s="32">
        <f>F62-K353</f>
        <v>37</v>
      </c>
      <c r="J62" s="36"/>
      <c r="K62" s="36"/>
      <c r="L62" s="32"/>
      <c r="M62" s="32"/>
      <c r="N62" s="42"/>
    </row>
    <row r="63" spans="1:14" hidden="1" x14ac:dyDescent="0.25">
      <c r="A63" s="22">
        <v>142</v>
      </c>
      <c r="B63" s="12" t="s">
        <v>127</v>
      </c>
      <c r="C63" s="9" t="s">
        <v>128</v>
      </c>
      <c r="D63" s="9" t="s">
        <v>16</v>
      </c>
      <c r="E63" s="13">
        <v>45219</v>
      </c>
      <c r="F63" s="9">
        <v>40</v>
      </c>
      <c r="G63" s="9"/>
      <c r="H63" s="31"/>
      <c r="I63" s="9">
        <f>F63-K211-K241-K286-K310-K330-K371</f>
        <v>1</v>
      </c>
      <c r="J63" s="31"/>
      <c r="K63" s="31"/>
      <c r="L63" s="9"/>
      <c r="M63" s="9"/>
      <c r="N63" s="12"/>
    </row>
    <row r="64" spans="1:14" hidden="1" x14ac:dyDescent="0.25">
      <c r="A64" s="28">
        <v>122</v>
      </c>
      <c r="B64" s="8" t="s">
        <v>20</v>
      </c>
      <c r="C64" s="238" t="s">
        <v>129</v>
      </c>
      <c r="D64" s="70" t="s">
        <v>16</v>
      </c>
      <c r="E64" s="30">
        <v>45229</v>
      </c>
      <c r="F64" s="7">
        <v>96</v>
      </c>
      <c r="G64" s="7"/>
      <c r="H64" s="37"/>
      <c r="I64" s="7">
        <f>F64-K210-K279-K318</f>
        <v>0</v>
      </c>
      <c r="J64" s="37"/>
      <c r="K64" s="37"/>
      <c r="L64" s="7"/>
      <c r="M64" s="7"/>
      <c r="N64" s="8"/>
    </row>
    <row r="65" spans="1:14" hidden="1" x14ac:dyDescent="0.25">
      <c r="A65" s="22">
        <v>123</v>
      </c>
      <c r="B65" s="12" t="s">
        <v>24</v>
      </c>
      <c r="C65" s="18" t="s">
        <v>130</v>
      </c>
      <c r="D65" s="19" t="s">
        <v>16</v>
      </c>
      <c r="E65" s="20">
        <v>45229</v>
      </c>
      <c r="F65" s="9">
        <v>92</v>
      </c>
      <c r="G65" s="9"/>
      <c r="H65" s="31"/>
      <c r="I65" s="9">
        <f>F65-K216-K243</f>
        <v>0</v>
      </c>
      <c r="J65" s="31"/>
      <c r="K65" s="31"/>
      <c r="L65" s="9"/>
      <c r="M65" s="9"/>
      <c r="N65" s="12"/>
    </row>
    <row r="66" spans="1:14" hidden="1" x14ac:dyDescent="0.25">
      <c r="A66" s="22"/>
      <c r="B66" s="12" t="s">
        <v>131</v>
      </c>
      <c r="C66" s="18"/>
      <c r="D66" s="34"/>
      <c r="E66" s="20">
        <v>45231</v>
      </c>
      <c r="F66" s="9">
        <v>2</v>
      </c>
      <c r="G66" s="9">
        <v>3</v>
      </c>
      <c r="H66" s="31"/>
      <c r="I66" s="9">
        <f>F66</f>
        <v>2</v>
      </c>
      <c r="J66" s="31"/>
      <c r="K66" s="31"/>
      <c r="L66" s="9"/>
      <c r="M66" s="9"/>
      <c r="N66" s="12" t="s">
        <v>132</v>
      </c>
    </row>
    <row r="67" spans="1:14" hidden="1" x14ac:dyDescent="0.25">
      <c r="A67" s="22">
        <v>130</v>
      </c>
      <c r="B67" s="12" t="s">
        <v>133</v>
      </c>
      <c r="C67" s="18" t="s">
        <v>134</v>
      </c>
      <c r="D67" s="19" t="s">
        <v>16</v>
      </c>
      <c r="E67" s="20">
        <v>45237</v>
      </c>
      <c r="F67" s="9">
        <v>192</v>
      </c>
      <c r="G67" s="9"/>
      <c r="H67" s="31"/>
      <c r="I67" s="9">
        <f>F67-K214-K249-K273-K304-K324-K327-K336-K351-K356</f>
        <v>135</v>
      </c>
      <c r="J67" s="31"/>
      <c r="K67" s="31"/>
      <c r="L67" s="9"/>
      <c r="M67" s="9"/>
      <c r="N67" s="12"/>
    </row>
    <row r="68" spans="1:14" hidden="1" x14ac:dyDescent="0.25">
      <c r="A68" s="22">
        <v>137</v>
      </c>
      <c r="B68" s="12" t="s">
        <v>20</v>
      </c>
      <c r="C68" s="18" t="s">
        <v>129</v>
      </c>
      <c r="D68" s="19" t="s">
        <v>16</v>
      </c>
      <c r="E68" s="20">
        <v>45237</v>
      </c>
      <c r="F68" s="9">
        <v>145</v>
      </c>
      <c r="G68" s="9"/>
      <c r="H68" s="31"/>
      <c r="I68" s="9">
        <f>F68-K319-K465-K477</f>
        <v>3</v>
      </c>
      <c r="J68" s="31"/>
      <c r="K68" s="31"/>
      <c r="L68" s="9"/>
      <c r="M68" s="9"/>
      <c r="N68" s="12"/>
    </row>
    <row r="69" spans="1:14" hidden="1" x14ac:dyDescent="0.25">
      <c r="A69" s="22">
        <v>128</v>
      </c>
      <c r="B69" s="12" t="s">
        <v>135</v>
      </c>
      <c r="C69" s="18" t="s">
        <v>136</v>
      </c>
      <c r="D69" s="19" t="s">
        <v>16</v>
      </c>
      <c r="E69" s="20">
        <v>45244</v>
      </c>
      <c r="F69" s="9">
        <v>298</v>
      </c>
      <c r="G69" s="9"/>
      <c r="H69" s="31"/>
      <c r="I69" s="9">
        <f>F69-K238-K334-K352-K361-K365</f>
        <v>0</v>
      </c>
      <c r="J69" s="31"/>
      <c r="K69" s="31"/>
      <c r="L69" s="9"/>
      <c r="M69" s="9"/>
      <c r="N69" s="12"/>
    </row>
    <row r="70" spans="1:14" hidden="1" x14ac:dyDescent="0.25">
      <c r="A70" s="22">
        <v>61</v>
      </c>
      <c r="B70" s="12" t="s">
        <v>64</v>
      </c>
      <c r="C70" s="18" t="s">
        <v>65</v>
      </c>
      <c r="D70" s="19" t="s">
        <v>52</v>
      </c>
      <c r="E70" s="20">
        <v>45245</v>
      </c>
      <c r="F70" s="9">
        <v>21</v>
      </c>
      <c r="G70" s="9">
        <v>6</v>
      </c>
      <c r="H70" s="31"/>
      <c r="I70" s="9">
        <f>F70-K236</f>
        <v>18</v>
      </c>
      <c r="J70" s="31"/>
      <c r="K70" s="31"/>
      <c r="L70" s="9"/>
      <c r="M70" s="9"/>
      <c r="N70" s="12" t="s">
        <v>137</v>
      </c>
    </row>
    <row r="71" spans="1:14" hidden="1" x14ac:dyDescent="0.25">
      <c r="A71" s="22">
        <v>87</v>
      </c>
      <c r="B71" s="12" t="s">
        <v>138</v>
      </c>
      <c r="C71" s="18" t="s">
        <v>139</v>
      </c>
      <c r="D71" s="19" t="s">
        <v>16</v>
      </c>
      <c r="E71" s="20">
        <v>45248</v>
      </c>
      <c r="F71" s="9">
        <v>66</v>
      </c>
      <c r="G71" s="9"/>
      <c r="H71" s="31"/>
      <c r="I71" s="9">
        <f>F71-K264-K265-K376-K476</f>
        <v>50</v>
      </c>
      <c r="J71" s="31"/>
      <c r="K71" s="31"/>
      <c r="L71" s="9"/>
      <c r="M71" s="9"/>
      <c r="N71" s="12"/>
    </row>
    <row r="72" spans="1:14" hidden="1" x14ac:dyDescent="0.25">
      <c r="A72" s="22">
        <v>88</v>
      </c>
      <c r="B72" s="12" t="s">
        <v>138</v>
      </c>
      <c r="C72" s="18" t="s">
        <v>139</v>
      </c>
      <c r="D72" s="19" t="s">
        <v>16</v>
      </c>
      <c r="E72" s="20">
        <v>45250</v>
      </c>
      <c r="F72" s="9">
        <v>46</v>
      </c>
      <c r="G72" s="9"/>
      <c r="H72" s="31"/>
      <c r="I72" s="9">
        <f t="shared" ref="I72:I75" si="2">F72</f>
        <v>46</v>
      </c>
      <c r="J72" s="31"/>
      <c r="K72" s="31"/>
      <c r="L72" s="9"/>
      <c r="M72" s="9"/>
      <c r="N72" s="12"/>
    </row>
    <row r="73" spans="1:14" hidden="1" x14ac:dyDescent="0.25">
      <c r="A73" s="22" t="s">
        <v>140</v>
      </c>
      <c r="B73" s="12" t="s">
        <v>68</v>
      </c>
      <c r="C73" s="18" t="s">
        <v>69</v>
      </c>
      <c r="D73" s="19" t="s">
        <v>16</v>
      </c>
      <c r="E73" s="20">
        <v>45253</v>
      </c>
      <c r="F73" s="9">
        <v>245</v>
      </c>
      <c r="G73" s="9"/>
      <c r="H73" s="31"/>
      <c r="I73" s="9">
        <f t="shared" si="2"/>
        <v>245</v>
      </c>
      <c r="J73" s="31"/>
      <c r="K73" s="31"/>
      <c r="L73" s="9"/>
      <c r="M73" s="9"/>
      <c r="N73" s="12"/>
    </row>
    <row r="74" spans="1:14" hidden="1" x14ac:dyDescent="0.25">
      <c r="A74" s="22">
        <v>140</v>
      </c>
      <c r="B74" s="12" t="s">
        <v>17</v>
      </c>
      <c r="C74" s="18" t="s">
        <v>18</v>
      </c>
      <c r="D74" s="19" t="s">
        <v>16</v>
      </c>
      <c r="E74" s="20">
        <v>45254</v>
      </c>
      <c r="F74" s="9">
        <v>160</v>
      </c>
      <c r="G74" s="9"/>
      <c r="H74" s="31"/>
      <c r="I74" s="9">
        <f>F74-K320-K438-K467</f>
        <v>7</v>
      </c>
      <c r="J74" s="31"/>
      <c r="K74" s="31"/>
      <c r="L74" s="9"/>
      <c r="M74" s="9"/>
      <c r="N74" s="12"/>
    </row>
    <row r="75" spans="1:14" hidden="1" x14ac:dyDescent="0.25">
      <c r="A75" s="22">
        <v>134</v>
      </c>
      <c r="B75" s="12" t="s">
        <v>125</v>
      </c>
      <c r="C75" s="18" t="s">
        <v>126</v>
      </c>
      <c r="D75" s="19" t="s">
        <v>16</v>
      </c>
      <c r="E75" s="20">
        <v>45266</v>
      </c>
      <c r="F75" s="9">
        <v>145</v>
      </c>
      <c r="G75" s="9"/>
      <c r="H75" s="31"/>
      <c r="I75" s="9">
        <f t="shared" si="2"/>
        <v>145</v>
      </c>
      <c r="J75" s="31"/>
      <c r="K75" s="31"/>
      <c r="L75" s="9"/>
      <c r="M75" s="9"/>
      <c r="N75" s="12"/>
    </row>
    <row r="76" spans="1:14" hidden="1" x14ac:dyDescent="0.25">
      <c r="A76" s="22">
        <v>139</v>
      </c>
      <c r="B76" s="12" t="s">
        <v>87</v>
      </c>
      <c r="C76" s="18" t="s">
        <v>141</v>
      </c>
      <c r="D76" s="19" t="s">
        <v>16</v>
      </c>
      <c r="E76" s="20">
        <v>45266</v>
      </c>
      <c r="F76" s="9">
        <v>198</v>
      </c>
      <c r="G76" s="9"/>
      <c r="H76" s="31"/>
      <c r="I76" s="9">
        <f>F76</f>
        <v>198</v>
      </c>
      <c r="J76" s="31"/>
      <c r="K76" s="31"/>
      <c r="L76" s="9"/>
      <c r="M76" s="9"/>
      <c r="N76" s="12"/>
    </row>
    <row r="77" spans="1:14" hidden="1" x14ac:dyDescent="0.25">
      <c r="A77" s="41">
        <v>141</v>
      </c>
      <c r="B77" s="42" t="s">
        <v>142</v>
      </c>
      <c r="C77" s="43" t="s">
        <v>143</v>
      </c>
      <c r="D77" s="53" t="s">
        <v>16</v>
      </c>
      <c r="E77" s="72">
        <v>45266</v>
      </c>
      <c r="F77" s="32">
        <v>147</v>
      </c>
      <c r="G77" s="32"/>
      <c r="H77" s="36"/>
      <c r="I77" s="32">
        <f>F77-K229-K306-K347-K377</f>
        <v>107</v>
      </c>
      <c r="J77" s="36"/>
      <c r="K77" s="36"/>
      <c r="L77" s="32"/>
      <c r="M77" s="32"/>
      <c r="N77" s="42"/>
    </row>
    <row r="78" spans="1:14" hidden="1" x14ac:dyDescent="0.25">
      <c r="A78" s="22">
        <v>142</v>
      </c>
      <c r="B78" s="12" t="s">
        <v>127</v>
      </c>
      <c r="C78" s="9" t="s">
        <v>128</v>
      </c>
      <c r="D78" s="9" t="s">
        <v>16</v>
      </c>
      <c r="E78" s="13">
        <v>45266</v>
      </c>
      <c r="F78" s="9">
        <v>149</v>
      </c>
      <c r="G78" s="9"/>
      <c r="H78" s="31"/>
      <c r="I78" s="9">
        <f>F78-K456-K471</f>
        <v>141</v>
      </c>
      <c r="J78" s="31"/>
      <c r="K78" s="31"/>
      <c r="L78" s="9"/>
      <c r="M78" s="9"/>
      <c r="N78" s="12"/>
    </row>
    <row r="79" spans="1:14" hidden="1" x14ac:dyDescent="0.25">
      <c r="A79" s="28">
        <v>145</v>
      </c>
      <c r="B79" s="8" t="s">
        <v>82</v>
      </c>
      <c r="C79" s="238" t="s">
        <v>83</v>
      </c>
      <c r="D79" s="70" t="s">
        <v>16</v>
      </c>
      <c r="E79" s="30">
        <v>45266</v>
      </c>
      <c r="F79" s="7">
        <v>951</v>
      </c>
      <c r="G79" s="7"/>
      <c r="H79" s="37"/>
      <c r="I79" s="7">
        <f>F79-K403-K410-K426-K440-K447-K446-K445-K451-K473-K475</f>
        <v>548</v>
      </c>
      <c r="J79" s="37"/>
      <c r="K79" s="37"/>
      <c r="L79" s="7"/>
      <c r="M79" s="7"/>
      <c r="N79" s="8"/>
    </row>
    <row r="80" spans="1:14" hidden="1" x14ac:dyDescent="0.25">
      <c r="A80" s="22">
        <v>135</v>
      </c>
      <c r="B80" s="12" t="s">
        <v>125</v>
      </c>
      <c r="C80" s="18" t="s">
        <v>144</v>
      </c>
      <c r="D80" s="19" t="s">
        <v>16</v>
      </c>
      <c r="E80" s="20">
        <v>45267</v>
      </c>
      <c r="F80" s="9">
        <v>195</v>
      </c>
      <c r="G80" s="9"/>
      <c r="H80" s="31"/>
      <c r="I80" s="9">
        <f t="shared" ref="I80" si="3">F80</f>
        <v>195</v>
      </c>
      <c r="J80" s="31"/>
      <c r="K80" s="31"/>
      <c r="L80" s="9"/>
      <c r="M80" s="9"/>
      <c r="N80" s="12"/>
    </row>
    <row r="81" spans="1:14" hidden="1" x14ac:dyDescent="0.25">
      <c r="A81" s="22">
        <v>138</v>
      </c>
      <c r="B81" s="12" t="s">
        <v>145</v>
      </c>
      <c r="C81" s="18" t="s">
        <v>146</v>
      </c>
      <c r="D81" s="19" t="s">
        <v>16</v>
      </c>
      <c r="E81" s="20">
        <v>45267</v>
      </c>
      <c r="F81" s="9">
        <v>194</v>
      </c>
      <c r="G81" s="9"/>
      <c r="H81" s="31"/>
      <c r="I81" s="9">
        <f>F81-K251-K252-K262-K271-K370</f>
        <v>6</v>
      </c>
      <c r="J81" s="31"/>
      <c r="K81" s="31"/>
      <c r="L81" s="9"/>
      <c r="M81" s="9"/>
      <c r="N81" s="12"/>
    </row>
    <row r="82" spans="1:14" hidden="1" x14ac:dyDescent="0.25">
      <c r="A82" s="22">
        <v>127</v>
      </c>
      <c r="B82" s="12" t="s">
        <v>48</v>
      </c>
      <c r="C82" s="35" t="s">
        <v>77</v>
      </c>
      <c r="D82" s="19" t="s">
        <v>16</v>
      </c>
      <c r="E82" s="20">
        <v>45272</v>
      </c>
      <c r="F82" s="9">
        <v>237</v>
      </c>
      <c r="G82" s="9"/>
      <c r="H82" s="31"/>
      <c r="I82" s="9">
        <f>F82-K344-K379-K387-K392-K460-K447</f>
        <v>215</v>
      </c>
      <c r="J82" s="31"/>
      <c r="K82" s="31"/>
      <c r="L82" s="9"/>
      <c r="M82" s="9"/>
      <c r="N82" s="12"/>
    </row>
    <row r="83" spans="1:14" hidden="1" x14ac:dyDescent="0.25">
      <c r="A83" s="22" t="s">
        <v>147</v>
      </c>
      <c r="B83" s="12" t="s">
        <v>48</v>
      </c>
      <c r="C83" s="35" t="s">
        <v>77</v>
      </c>
      <c r="D83" s="19" t="s">
        <v>16</v>
      </c>
      <c r="E83" s="20">
        <v>45272</v>
      </c>
      <c r="F83" s="9">
        <v>239</v>
      </c>
      <c r="G83" s="9"/>
      <c r="H83" s="31"/>
      <c r="I83" s="9">
        <f t="shared" ref="I83:I88" si="4">F83</f>
        <v>239</v>
      </c>
      <c r="J83" s="31"/>
      <c r="K83" s="31"/>
      <c r="L83" s="9"/>
      <c r="M83" s="9"/>
      <c r="N83" s="12"/>
    </row>
    <row r="84" spans="1:14" hidden="1" x14ac:dyDescent="0.25">
      <c r="A84" s="22" t="s">
        <v>148</v>
      </c>
      <c r="B84" s="12" t="s">
        <v>125</v>
      </c>
      <c r="C84" s="9" t="s">
        <v>149</v>
      </c>
      <c r="D84" s="33"/>
      <c r="E84" s="13">
        <v>45272</v>
      </c>
      <c r="F84" s="9">
        <v>100</v>
      </c>
      <c r="G84" s="9"/>
      <c r="H84" s="31"/>
      <c r="I84" s="9">
        <f t="shared" si="4"/>
        <v>100</v>
      </c>
      <c r="J84" s="31"/>
      <c r="K84" s="31"/>
      <c r="L84" s="9"/>
      <c r="M84" s="9"/>
      <c r="N84" s="12"/>
    </row>
    <row r="85" spans="1:14" hidden="1" x14ac:dyDescent="0.25">
      <c r="A85" s="22" t="s">
        <v>148</v>
      </c>
      <c r="B85" s="12" t="s">
        <v>150</v>
      </c>
      <c r="C85" s="9" t="s">
        <v>151</v>
      </c>
      <c r="D85" s="36"/>
      <c r="E85" s="13">
        <v>45272</v>
      </c>
      <c r="F85" s="9">
        <v>40</v>
      </c>
      <c r="G85" s="9"/>
      <c r="H85" s="31"/>
      <c r="I85" s="9">
        <f>F85-K345</f>
        <v>37</v>
      </c>
      <c r="J85" s="31"/>
      <c r="K85" s="31"/>
      <c r="L85" s="9"/>
      <c r="M85" s="9"/>
      <c r="N85" s="12"/>
    </row>
    <row r="86" spans="1:14" hidden="1" x14ac:dyDescent="0.25">
      <c r="A86" s="22">
        <v>126</v>
      </c>
      <c r="B86" s="12" t="s">
        <v>87</v>
      </c>
      <c r="C86" s="18" t="s">
        <v>152</v>
      </c>
      <c r="D86" s="19" t="s">
        <v>16</v>
      </c>
      <c r="E86" s="20">
        <v>45274</v>
      </c>
      <c r="F86" s="9">
        <v>193</v>
      </c>
      <c r="G86" s="9"/>
      <c r="H86" s="31"/>
      <c r="I86" s="9">
        <f t="shared" si="4"/>
        <v>193</v>
      </c>
      <c r="J86" s="31"/>
      <c r="K86" s="31"/>
      <c r="L86" s="9"/>
      <c r="M86" s="9"/>
      <c r="N86" s="12"/>
    </row>
    <row r="87" spans="1:14" hidden="1" x14ac:dyDescent="0.25">
      <c r="A87" s="22" t="s">
        <v>148</v>
      </c>
      <c r="B87" s="12" t="s">
        <v>153</v>
      </c>
      <c r="C87" s="9" t="s">
        <v>428</v>
      </c>
      <c r="D87" s="37"/>
      <c r="E87" s="13">
        <v>45274</v>
      </c>
      <c r="F87" s="9">
        <v>42</v>
      </c>
      <c r="G87" s="9"/>
      <c r="H87" s="31"/>
      <c r="I87" s="9">
        <f t="shared" si="4"/>
        <v>42</v>
      </c>
      <c r="J87" s="31"/>
      <c r="K87" s="31"/>
      <c r="L87" s="9"/>
      <c r="M87" s="9"/>
      <c r="N87" s="12"/>
    </row>
    <row r="88" spans="1:14" hidden="1" x14ac:dyDescent="0.25">
      <c r="A88" s="22" t="s">
        <v>148</v>
      </c>
      <c r="B88" s="12" t="s">
        <v>150</v>
      </c>
      <c r="C88" s="18" t="s">
        <v>151</v>
      </c>
      <c r="D88" s="34"/>
      <c r="E88" s="20">
        <v>45274</v>
      </c>
      <c r="F88" s="9">
        <v>38</v>
      </c>
      <c r="G88" s="9"/>
      <c r="H88" s="31"/>
      <c r="I88" s="9">
        <f t="shared" si="4"/>
        <v>38</v>
      </c>
      <c r="J88" s="31"/>
      <c r="K88" s="31"/>
      <c r="L88" s="9"/>
      <c r="M88" s="9"/>
      <c r="N88" s="12"/>
    </row>
    <row r="89" spans="1:14" hidden="1" x14ac:dyDescent="0.25">
      <c r="A89" s="22" t="s">
        <v>148</v>
      </c>
      <c r="B89" s="12" t="s">
        <v>154</v>
      </c>
      <c r="C89" s="9" t="s">
        <v>155</v>
      </c>
      <c r="D89" s="36"/>
      <c r="E89" s="13">
        <v>45274</v>
      </c>
      <c r="F89" s="9">
        <v>86</v>
      </c>
      <c r="G89" s="9"/>
      <c r="H89" s="31"/>
      <c r="I89" s="9">
        <f t="shared" ref="I89:I93" si="5">F89</f>
        <v>86</v>
      </c>
      <c r="J89" s="31"/>
      <c r="K89" s="31"/>
      <c r="L89" s="9"/>
      <c r="M89" s="9"/>
      <c r="N89" s="12"/>
    </row>
    <row r="90" spans="1:14" hidden="1" x14ac:dyDescent="0.25">
      <c r="A90" s="22">
        <v>152</v>
      </c>
      <c r="B90" s="12" t="s">
        <v>154</v>
      </c>
      <c r="C90" s="18" t="s">
        <v>155</v>
      </c>
      <c r="D90" s="19" t="s">
        <v>16</v>
      </c>
      <c r="E90" s="20">
        <v>45281</v>
      </c>
      <c r="F90" s="9">
        <v>197</v>
      </c>
      <c r="G90" s="9"/>
      <c r="H90" s="31"/>
      <c r="I90" s="9">
        <f>F90-K346</f>
        <v>194</v>
      </c>
      <c r="J90" s="31"/>
      <c r="K90" s="31"/>
      <c r="L90" s="9"/>
      <c r="M90" s="9"/>
      <c r="N90" s="12"/>
    </row>
    <row r="91" spans="1:14" hidden="1" x14ac:dyDescent="0.25">
      <c r="A91" s="22">
        <v>144</v>
      </c>
      <c r="B91" s="12" t="s">
        <v>46</v>
      </c>
      <c r="C91" s="18" t="s">
        <v>156</v>
      </c>
      <c r="D91" s="19" t="s">
        <v>16</v>
      </c>
      <c r="E91" s="20">
        <v>45289</v>
      </c>
      <c r="F91" s="9">
        <v>1600</v>
      </c>
      <c r="G91" s="9"/>
      <c r="H91" s="31"/>
      <c r="I91" s="9">
        <f>F91-K298-K342-K350-K364-K384-K389-K394-K404-K411-K429-K430-K441-K455-K470</f>
        <v>304</v>
      </c>
      <c r="J91" s="31"/>
      <c r="K91" s="31"/>
      <c r="L91" s="9"/>
      <c r="M91" s="9"/>
      <c r="N91" s="12"/>
    </row>
    <row r="92" spans="1:14" hidden="1" x14ac:dyDescent="0.25">
      <c r="A92" s="22">
        <v>157</v>
      </c>
      <c r="B92" s="12" t="s">
        <v>46</v>
      </c>
      <c r="C92" s="18" t="s">
        <v>156</v>
      </c>
      <c r="D92" s="19" t="s">
        <v>16</v>
      </c>
      <c r="E92" s="20">
        <v>45315</v>
      </c>
      <c r="F92" s="9">
        <v>596</v>
      </c>
      <c r="G92" s="9"/>
      <c r="H92" s="31"/>
      <c r="I92" s="9">
        <f t="shared" si="5"/>
        <v>596</v>
      </c>
      <c r="J92" s="31"/>
      <c r="K92" s="31"/>
      <c r="L92" s="9"/>
      <c r="M92" s="9"/>
      <c r="N92" s="12"/>
    </row>
    <row r="93" spans="1:14" hidden="1" x14ac:dyDescent="0.25">
      <c r="A93" s="22" t="s">
        <v>157</v>
      </c>
      <c r="B93" s="12" t="s">
        <v>68</v>
      </c>
      <c r="C93" s="18" t="s">
        <v>69</v>
      </c>
      <c r="D93" s="19" t="s">
        <v>16</v>
      </c>
      <c r="E93" s="20">
        <v>45327</v>
      </c>
      <c r="F93" s="9">
        <v>493</v>
      </c>
      <c r="G93" s="9"/>
      <c r="H93" s="31"/>
      <c r="I93" s="9">
        <f t="shared" si="5"/>
        <v>493</v>
      </c>
      <c r="J93" s="31"/>
      <c r="K93" s="31"/>
      <c r="L93" s="9"/>
      <c r="M93" s="9"/>
      <c r="N93" s="12"/>
    </row>
    <row r="94" spans="1:14" hidden="1" x14ac:dyDescent="0.25">
      <c r="A94" s="22">
        <v>132</v>
      </c>
      <c r="B94" s="16" t="s">
        <v>33</v>
      </c>
      <c r="C94" s="15" t="s">
        <v>34</v>
      </c>
      <c r="D94" s="38" t="s">
        <v>113</v>
      </c>
      <c r="E94" s="13">
        <v>45327</v>
      </c>
      <c r="F94" s="9">
        <v>660</v>
      </c>
      <c r="G94" s="9"/>
      <c r="H94" s="31"/>
      <c r="I94" s="9">
        <f>F94-K247-K246-K258-K289-K375-K380-K383-K388-K398-K474</f>
        <v>14</v>
      </c>
      <c r="J94" s="31"/>
      <c r="K94" s="31"/>
      <c r="L94" s="9"/>
      <c r="M94" s="9"/>
      <c r="N94" s="39"/>
    </row>
    <row r="95" spans="1:14" hidden="1" x14ac:dyDescent="0.25">
      <c r="A95" s="22">
        <v>24</v>
      </c>
      <c r="B95" s="16" t="s">
        <v>158</v>
      </c>
      <c r="C95" s="40" t="s">
        <v>159</v>
      </c>
      <c r="D95" s="34"/>
      <c r="E95" s="20">
        <v>45341</v>
      </c>
      <c r="F95" s="9">
        <v>40</v>
      </c>
      <c r="G95" s="9"/>
      <c r="H95" s="31"/>
      <c r="I95" s="9">
        <f>F95-K307</f>
        <v>5</v>
      </c>
      <c r="J95" s="31"/>
      <c r="K95" s="31"/>
      <c r="L95" s="9"/>
      <c r="M95" s="9"/>
      <c r="N95" s="12"/>
    </row>
    <row r="96" spans="1:14" hidden="1" x14ac:dyDescent="0.25">
      <c r="A96" s="22" t="s">
        <v>160</v>
      </c>
      <c r="B96" s="12" t="s">
        <v>161</v>
      </c>
      <c r="C96" s="15" t="s">
        <v>162</v>
      </c>
      <c r="D96" s="9" t="s">
        <v>548</v>
      </c>
      <c r="E96" s="13">
        <v>45341</v>
      </c>
      <c r="F96" s="9">
        <v>87</v>
      </c>
      <c r="G96" s="9"/>
      <c r="H96" s="31"/>
      <c r="I96" s="9">
        <f>F96-K453-K463</f>
        <v>85</v>
      </c>
      <c r="J96" s="31"/>
      <c r="K96" s="31"/>
      <c r="L96" s="9"/>
      <c r="M96" s="9"/>
      <c r="N96" s="12"/>
    </row>
    <row r="97" spans="1:14" hidden="1" x14ac:dyDescent="0.25">
      <c r="A97" s="22" t="s">
        <v>163</v>
      </c>
      <c r="B97" s="12" t="s">
        <v>164</v>
      </c>
      <c r="C97" s="15" t="s">
        <v>165</v>
      </c>
      <c r="D97" s="9" t="s">
        <v>548</v>
      </c>
      <c r="E97" s="13">
        <v>45341</v>
      </c>
      <c r="F97" s="9">
        <v>92</v>
      </c>
      <c r="G97" s="9"/>
      <c r="H97" s="31"/>
      <c r="I97" s="9">
        <f>F97-K454</f>
        <v>91</v>
      </c>
      <c r="J97" s="31"/>
      <c r="K97" s="31"/>
      <c r="L97" s="9"/>
      <c r="M97" s="9"/>
      <c r="N97" s="12"/>
    </row>
    <row r="98" spans="1:14" hidden="1" x14ac:dyDescent="0.25">
      <c r="A98" s="41">
        <v>151</v>
      </c>
      <c r="B98" s="42" t="s">
        <v>87</v>
      </c>
      <c r="C98" s="43" t="s">
        <v>152</v>
      </c>
      <c r="D98" s="19" t="s">
        <v>16</v>
      </c>
      <c r="E98" s="44">
        <v>45363</v>
      </c>
      <c r="F98" s="41">
        <v>181</v>
      </c>
      <c r="G98" s="45"/>
      <c r="H98" s="45"/>
      <c r="I98" s="32">
        <f t="shared" ref="I98" si="6">F98</f>
        <v>181</v>
      </c>
      <c r="J98" s="45"/>
      <c r="K98" s="45"/>
      <c r="L98" s="41"/>
      <c r="M98" s="41"/>
      <c r="N98" s="46"/>
    </row>
    <row r="99" spans="1:14" hidden="1" x14ac:dyDescent="0.25">
      <c r="A99" s="47">
        <v>156</v>
      </c>
      <c r="B99" s="42" t="s">
        <v>82</v>
      </c>
      <c r="C99" s="43" t="s">
        <v>83</v>
      </c>
      <c r="D99" s="19" t="s">
        <v>16</v>
      </c>
      <c r="E99" s="48">
        <v>45366</v>
      </c>
      <c r="F99" s="26">
        <v>381</v>
      </c>
      <c r="G99" s="49"/>
      <c r="H99" s="49"/>
      <c r="I99" s="9">
        <f>F99</f>
        <v>381</v>
      </c>
      <c r="J99" s="49"/>
      <c r="K99" s="49"/>
      <c r="L99" s="26"/>
      <c r="M99" s="26"/>
      <c r="N99" s="39"/>
    </row>
    <row r="100" spans="1:14" x14ac:dyDescent="0.25">
      <c r="A100" s="47">
        <v>131</v>
      </c>
      <c r="B100" s="12" t="s">
        <v>37</v>
      </c>
      <c r="C100" s="18" t="s">
        <v>38</v>
      </c>
      <c r="D100" s="26" t="s">
        <v>104</v>
      </c>
      <c r="E100" s="48">
        <v>45366</v>
      </c>
      <c r="F100" s="26">
        <v>668</v>
      </c>
      <c r="G100" s="49"/>
      <c r="H100" s="49"/>
      <c r="I100" s="19">
        <f>F100-K248-K250-K316</f>
        <v>0</v>
      </c>
      <c r="J100" s="49"/>
      <c r="K100" s="49"/>
      <c r="L100" s="26"/>
      <c r="M100" s="26"/>
      <c r="N100" s="39"/>
    </row>
    <row r="101" spans="1:14" hidden="1" x14ac:dyDescent="0.25">
      <c r="A101" s="47">
        <v>155</v>
      </c>
      <c r="B101" s="12" t="s">
        <v>68</v>
      </c>
      <c r="C101" s="18" t="s">
        <v>69</v>
      </c>
      <c r="D101" s="19" t="s">
        <v>16</v>
      </c>
      <c r="E101" s="48">
        <v>45386</v>
      </c>
      <c r="F101" s="26">
        <v>194</v>
      </c>
      <c r="G101" s="49"/>
      <c r="H101" s="49"/>
      <c r="I101" s="19">
        <f>F101</f>
        <v>194</v>
      </c>
      <c r="J101" s="49"/>
      <c r="K101" s="49"/>
      <c r="L101" s="26"/>
      <c r="M101" s="26"/>
      <c r="N101" s="39"/>
    </row>
    <row r="102" spans="1:14" hidden="1" x14ac:dyDescent="0.25">
      <c r="A102" s="47">
        <v>161</v>
      </c>
      <c r="B102" s="12" t="s">
        <v>24</v>
      </c>
      <c r="C102" s="18" t="s">
        <v>130</v>
      </c>
      <c r="D102" s="19" t="s">
        <v>16</v>
      </c>
      <c r="E102" s="48">
        <v>45397</v>
      </c>
      <c r="F102" s="26">
        <v>294</v>
      </c>
      <c r="G102" s="49"/>
      <c r="H102" s="49"/>
      <c r="I102" s="19">
        <f>F102-K261-K291-K322-K466-K478</f>
        <v>33</v>
      </c>
      <c r="J102" s="49"/>
      <c r="K102" s="49"/>
      <c r="L102" s="26"/>
      <c r="M102" s="26"/>
      <c r="N102" s="39"/>
    </row>
    <row r="103" spans="1:14" hidden="1" x14ac:dyDescent="0.25">
      <c r="A103" s="47" t="s">
        <v>166</v>
      </c>
      <c r="B103" s="12" t="s">
        <v>46</v>
      </c>
      <c r="C103" s="18" t="s">
        <v>156</v>
      </c>
      <c r="D103" s="19" t="s">
        <v>16</v>
      </c>
      <c r="E103" s="48">
        <v>45398</v>
      </c>
      <c r="F103" s="26">
        <v>295</v>
      </c>
      <c r="G103" s="49"/>
      <c r="H103" s="49"/>
      <c r="I103" s="19">
        <f t="shared" ref="I103:I107" si="7">F103</f>
        <v>295</v>
      </c>
      <c r="J103" s="49"/>
      <c r="K103" s="49"/>
      <c r="L103" s="26"/>
      <c r="M103" s="26"/>
      <c r="N103" s="39"/>
    </row>
    <row r="104" spans="1:14" hidden="1" x14ac:dyDescent="0.25">
      <c r="A104" s="47">
        <v>154</v>
      </c>
      <c r="B104" s="12" t="s">
        <v>133</v>
      </c>
      <c r="C104" s="18" t="s">
        <v>134</v>
      </c>
      <c r="D104" s="19" t="s">
        <v>16</v>
      </c>
      <c r="E104" s="48">
        <v>45400</v>
      </c>
      <c r="F104" s="26">
        <v>194</v>
      </c>
      <c r="G104" s="49"/>
      <c r="H104" s="49"/>
      <c r="I104" s="19">
        <f t="shared" si="7"/>
        <v>194</v>
      </c>
      <c r="J104" s="49"/>
      <c r="K104" s="49"/>
      <c r="L104" s="26"/>
      <c r="M104" s="26"/>
      <c r="N104" s="39"/>
    </row>
    <row r="105" spans="1:14" hidden="1" x14ac:dyDescent="0.25">
      <c r="A105" s="47">
        <v>179</v>
      </c>
      <c r="B105" s="12" t="s">
        <v>111</v>
      </c>
      <c r="C105" s="18" t="s">
        <v>116</v>
      </c>
      <c r="D105" s="26" t="s">
        <v>167</v>
      </c>
      <c r="E105" s="48">
        <v>45400</v>
      </c>
      <c r="F105" s="26">
        <v>43</v>
      </c>
      <c r="G105" s="49"/>
      <c r="H105" s="49"/>
      <c r="I105" s="19">
        <f t="shared" si="7"/>
        <v>43</v>
      </c>
      <c r="J105" s="49"/>
      <c r="K105" s="49"/>
      <c r="L105" s="26"/>
      <c r="M105" s="26"/>
      <c r="N105" s="39"/>
    </row>
    <row r="106" spans="1:14" hidden="1" x14ac:dyDescent="0.25">
      <c r="A106" s="47">
        <v>158</v>
      </c>
      <c r="B106" s="12" t="s">
        <v>14</v>
      </c>
      <c r="C106" s="18" t="s">
        <v>122</v>
      </c>
      <c r="D106" s="19" t="s">
        <v>16</v>
      </c>
      <c r="E106" s="48">
        <v>45419</v>
      </c>
      <c r="F106" s="26">
        <v>388</v>
      </c>
      <c r="G106" s="49"/>
      <c r="H106" s="49"/>
      <c r="I106" s="19">
        <f>F106-K435-K464</f>
        <v>326</v>
      </c>
      <c r="J106" s="49"/>
      <c r="K106" s="49"/>
      <c r="L106" s="26"/>
      <c r="M106" s="26"/>
      <c r="N106" s="39"/>
    </row>
    <row r="107" spans="1:14" hidden="1" x14ac:dyDescent="0.25">
      <c r="A107" s="47">
        <v>165</v>
      </c>
      <c r="B107" s="12" t="s">
        <v>133</v>
      </c>
      <c r="C107" s="18" t="s">
        <v>134</v>
      </c>
      <c r="D107" s="19" t="s">
        <v>16</v>
      </c>
      <c r="E107" s="48">
        <v>45419</v>
      </c>
      <c r="F107" s="26">
        <v>198</v>
      </c>
      <c r="G107" s="49"/>
      <c r="H107" s="49"/>
      <c r="I107" s="19">
        <f t="shared" si="7"/>
        <v>198</v>
      </c>
      <c r="J107" s="49"/>
      <c r="K107" s="49"/>
      <c r="L107" s="26"/>
      <c r="M107" s="26"/>
      <c r="N107" s="39"/>
    </row>
    <row r="108" spans="1:14" hidden="1" x14ac:dyDescent="0.25">
      <c r="A108" s="47">
        <v>166</v>
      </c>
      <c r="B108" s="12" t="s">
        <v>135</v>
      </c>
      <c r="C108" s="18" t="s">
        <v>136</v>
      </c>
      <c r="D108" s="19" t="s">
        <v>16</v>
      </c>
      <c r="E108" s="48">
        <v>45419</v>
      </c>
      <c r="F108" s="26">
        <v>184</v>
      </c>
      <c r="G108" s="49"/>
      <c r="H108" s="49"/>
      <c r="I108" s="19">
        <f>F108-K366-K391</f>
        <v>76</v>
      </c>
      <c r="J108" s="49"/>
      <c r="K108" s="49"/>
      <c r="L108" s="26"/>
      <c r="M108" s="26"/>
      <c r="N108" s="39"/>
    </row>
    <row r="109" spans="1:14" hidden="1" x14ac:dyDescent="0.25">
      <c r="A109" s="47">
        <v>159</v>
      </c>
      <c r="B109" s="12" t="s">
        <v>17</v>
      </c>
      <c r="C109" s="18" t="s">
        <v>18</v>
      </c>
      <c r="D109" s="19" t="s">
        <v>16</v>
      </c>
      <c r="E109" s="48">
        <v>45420</v>
      </c>
      <c r="F109" s="26">
        <v>305</v>
      </c>
      <c r="G109" s="49"/>
      <c r="H109" s="49"/>
      <c r="I109" s="19">
        <f>F109-K479</f>
        <v>263</v>
      </c>
      <c r="J109" s="49"/>
      <c r="K109" s="49"/>
      <c r="L109" s="26"/>
      <c r="M109" s="26"/>
      <c r="N109" s="39"/>
    </row>
    <row r="110" spans="1:14" x14ac:dyDescent="0.25">
      <c r="A110" s="47">
        <v>180</v>
      </c>
      <c r="B110" s="12" t="s">
        <v>37</v>
      </c>
      <c r="C110" s="18" t="s">
        <v>38</v>
      </c>
      <c r="D110" s="26" t="s">
        <v>104</v>
      </c>
      <c r="E110" s="48">
        <v>45420</v>
      </c>
      <c r="F110" s="26">
        <v>890</v>
      </c>
      <c r="G110" s="49"/>
      <c r="H110" s="49"/>
      <c r="I110" s="19">
        <f>F110-K257-K275-K359-K368</f>
        <v>0</v>
      </c>
      <c r="J110" s="49"/>
      <c r="K110" s="49"/>
      <c r="L110" s="26"/>
      <c r="M110" s="26"/>
      <c r="N110" s="39"/>
    </row>
    <row r="111" spans="1:14" hidden="1" x14ac:dyDescent="0.25">
      <c r="A111" s="47">
        <v>168</v>
      </c>
      <c r="B111" s="12" t="s">
        <v>68</v>
      </c>
      <c r="C111" s="18" t="s">
        <v>69</v>
      </c>
      <c r="D111" s="19" t="s">
        <v>16</v>
      </c>
      <c r="E111" s="48">
        <v>45427</v>
      </c>
      <c r="F111" s="26">
        <v>199</v>
      </c>
      <c r="G111" s="49"/>
      <c r="H111" s="49"/>
      <c r="I111" s="19">
        <f t="shared" ref="I111:I114" si="8">F111</f>
        <v>199</v>
      </c>
      <c r="J111" s="49"/>
      <c r="K111" s="49"/>
      <c r="L111" s="26"/>
      <c r="M111" s="26"/>
      <c r="N111" s="39"/>
    </row>
    <row r="112" spans="1:14" hidden="1" x14ac:dyDescent="0.25">
      <c r="A112" s="26">
        <v>169</v>
      </c>
      <c r="B112" s="50" t="s">
        <v>82</v>
      </c>
      <c r="C112" s="43" t="s">
        <v>83</v>
      </c>
      <c r="D112" s="19" t="s">
        <v>16</v>
      </c>
      <c r="E112" s="51">
        <v>45428</v>
      </c>
      <c r="F112" s="26">
        <v>488</v>
      </c>
      <c r="G112" s="49"/>
      <c r="H112" s="49"/>
      <c r="I112" s="19">
        <f t="shared" si="8"/>
        <v>488</v>
      </c>
      <c r="J112" s="49"/>
      <c r="K112" s="49"/>
      <c r="L112" s="26"/>
      <c r="M112" s="26"/>
      <c r="N112" s="39"/>
    </row>
    <row r="113" spans="1:14" hidden="1" x14ac:dyDescent="0.25">
      <c r="A113" s="26">
        <v>170</v>
      </c>
      <c r="B113" s="52" t="s">
        <v>135</v>
      </c>
      <c r="C113" s="53" t="s">
        <v>168</v>
      </c>
      <c r="D113" s="19" t="s">
        <v>16</v>
      </c>
      <c r="E113" s="51">
        <v>45428</v>
      </c>
      <c r="F113" s="26">
        <v>185</v>
      </c>
      <c r="G113" s="49"/>
      <c r="H113" s="49"/>
      <c r="I113" s="19">
        <f t="shared" si="8"/>
        <v>185</v>
      </c>
      <c r="J113" s="49"/>
      <c r="K113" s="49"/>
      <c r="L113" s="26"/>
      <c r="M113" s="26"/>
      <c r="N113" s="39"/>
    </row>
    <row r="114" spans="1:14" hidden="1" x14ac:dyDescent="0.25">
      <c r="A114" s="26" t="s">
        <v>169</v>
      </c>
      <c r="B114" s="52" t="s">
        <v>46</v>
      </c>
      <c r="C114" s="53" t="s">
        <v>156</v>
      </c>
      <c r="D114" s="19" t="s">
        <v>16</v>
      </c>
      <c r="E114" s="51">
        <v>45435</v>
      </c>
      <c r="F114" s="26">
        <v>397</v>
      </c>
      <c r="G114" s="49"/>
      <c r="H114" s="49"/>
      <c r="I114" s="19">
        <f t="shared" si="8"/>
        <v>397</v>
      </c>
      <c r="J114" s="49"/>
      <c r="K114" s="49"/>
      <c r="L114" s="26"/>
      <c r="M114" s="26"/>
      <c r="N114" s="39"/>
    </row>
    <row r="115" spans="1:14" x14ac:dyDescent="0.25">
      <c r="A115" s="26">
        <v>180</v>
      </c>
      <c r="B115" s="21" t="s">
        <v>37</v>
      </c>
      <c r="C115" s="43" t="s">
        <v>38</v>
      </c>
      <c r="D115" s="26" t="s">
        <v>104</v>
      </c>
      <c r="E115" s="51">
        <v>45449</v>
      </c>
      <c r="F115" s="26">
        <v>1066</v>
      </c>
      <c r="G115" s="49"/>
      <c r="H115" s="49"/>
      <c r="I115" s="19">
        <f>F115-K369-K374-K378-K382-K385-K416-287-K432-K457-K458</f>
        <v>5</v>
      </c>
      <c r="J115" s="49"/>
      <c r="K115" s="49"/>
      <c r="L115" s="26"/>
      <c r="M115" s="26"/>
      <c r="N115" s="39"/>
    </row>
    <row r="116" spans="1:14" hidden="1" x14ac:dyDescent="0.25">
      <c r="A116" s="26">
        <v>161</v>
      </c>
      <c r="B116" s="54" t="s">
        <v>24</v>
      </c>
      <c r="C116" s="53" t="s">
        <v>130</v>
      </c>
      <c r="D116" s="10" t="s">
        <v>16</v>
      </c>
      <c r="E116" s="51">
        <v>45450</v>
      </c>
      <c r="F116" s="26">
        <v>292</v>
      </c>
      <c r="G116" s="49"/>
      <c r="H116" s="49"/>
      <c r="I116" s="19">
        <f>F116-K291-K322-K437</f>
        <v>54</v>
      </c>
      <c r="J116" s="49"/>
      <c r="K116" s="49"/>
      <c r="L116" s="26"/>
      <c r="M116" s="26"/>
      <c r="N116" s="39"/>
    </row>
    <row r="117" spans="1:14" hidden="1" x14ac:dyDescent="0.25">
      <c r="A117" s="26">
        <v>181</v>
      </c>
      <c r="B117" s="52" t="s">
        <v>84</v>
      </c>
      <c r="C117" s="53" t="s">
        <v>85</v>
      </c>
      <c r="D117" s="26" t="s">
        <v>104</v>
      </c>
      <c r="E117" s="51">
        <v>45453</v>
      </c>
      <c r="F117" s="26">
        <v>193</v>
      </c>
      <c r="G117" s="49"/>
      <c r="H117" s="49"/>
      <c r="I117" s="19">
        <f>F117-K276</f>
        <v>1</v>
      </c>
      <c r="J117" s="49"/>
      <c r="K117" s="49"/>
      <c r="L117" s="26"/>
      <c r="M117" s="26"/>
      <c r="N117" s="39"/>
    </row>
    <row r="118" spans="1:14" hidden="1" x14ac:dyDescent="0.25">
      <c r="A118" s="26">
        <v>184</v>
      </c>
      <c r="B118" s="52" t="s">
        <v>105</v>
      </c>
      <c r="C118" s="53" t="s">
        <v>170</v>
      </c>
      <c r="D118" s="26" t="s">
        <v>104</v>
      </c>
      <c r="E118" s="51">
        <v>45454</v>
      </c>
      <c r="F118" s="26">
        <v>160</v>
      </c>
      <c r="G118" s="49"/>
      <c r="H118" s="49"/>
      <c r="I118" s="19">
        <f>F118-K415-K422</f>
        <v>142</v>
      </c>
      <c r="J118" s="49"/>
      <c r="K118" s="49"/>
      <c r="L118" s="26"/>
      <c r="M118" s="26"/>
      <c r="N118" s="39"/>
    </row>
    <row r="119" spans="1:14" hidden="1" x14ac:dyDescent="0.25">
      <c r="A119" s="26">
        <v>187</v>
      </c>
      <c r="B119" s="52" t="s">
        <v>111</v>
      </c>
      <c r="C119" s="53" t="s">
        <v>116</v>
      </c>
      <c r="D119" s="26" t="s">
        <v>104</v>
      </c>
      <c r="E119" s="51">
        <v>45456</v>
      </c>
      <c r="F119" s="26">
        <v>349</v>
      </c>
      <c r="G119" s="49"/>
      <c r="H119" s="49"/>
      <c r="I119" s="19">
        <f>F119-K425-K462</f>
        <v>339</v>
      </c>
      <c r="J119" s="49"/>
      <c r="K119" s="49"/>
      <c r="L119" s="26"/>
      <c r="M119" s="26"/>
      <c r="N119" s="39"/>
    </row>
    <row r="120" spans="1:14" hidden="1" x14ac:dyDescent="0.25">
      <c r="A120" s="26">
        <v>183</v>
      </c>
      <c r="B120" s="52" t="s">
        <v>102</v>
      </c>
      <c r="C120" s="53" t="s">
        <v>171</v>
      </c>
      <c r="D120" s="26" t="s">
        <v>104</v>
      </c>
      <c r="E120" s="51">
        <v>45460</v>
      </c>
      <c r="F120" s="26">
        <v>392</v>
      </c>
      <c r="G120" s="49"/>
      <c r="H120" s="49"/>
      <c r="I120" s="19">
        <f>F120-K355-K421</f>
        <v>382</v>
      </c>
      <c r="J120" s="49"/>
      <c r="K120" s="49"/>
      <c r="L120" s="26"/>
      <c r="M120" s="26"/>
      <c r="N120" s="39"/>
    </row>
    <row r="121" spans="1:14" hidden="1" x14ac:dyDescent="0.25">
      <c r="A121" s="26">
        <v>164</v>
      </c>
      <c r="B121" s="55" t="s">
        <v>46</v>
      </c>
      <c r="C121" s="19" t="s">
        <v>156</v>
      </c>
      <c r="D121" s="19" t="s">
        <v>16</v>
      </c>
      <c r="E121" s="51">
        <v>45467</v>
      </c>
      <c r="F121" s="26">
        <v>297</v>
      </c>
      <c r="G121" s="49"/>
      <c r="H121" s="49"/>
      <c r="I121" s="19">
        <f t="shared" ref="I121:I130" si="9">F121</f>
        <v>297</v>
      </c>
      <c r="J121" s="49"/>
      <c r="K121" s="49"/>
      <c r="L121" s="26"/>
      <c r="M121" s="26"/>
      <c r="N121" s="39"/>
    </row>
    <row r="122" spans="1:14" hidden="1" x14ac:dyDescent="0.25">
      <c r="A122" s="26" t="s">
        <v>172</v>
      </c>
      <c r="B122" s="55" t="s">
        <v>46</v>
      </c>
      <c r="C122" s="19" t="s">
        <v>156</v>
      </c>
      <c r="D122" s="10" t="s">
        <v>16</v>
      </c>
      <c r="E122" s="51">
        <v>45467</v>
      </c>
      <c r="F122" s="26">
        <v>293</v>
      </c>
      <c r="G122" s="49"/>
      <c r="H122" s="49"/>
      <c r="I122" s="19">
        <f t="shared" si="9"/>
        <v>293</v>
      </c>
      <c r="J122" s="49"/>
      <c r="K122" s="49"/>
      <c r="L122" s="26"/>
      <c r="M122" s="26"/>
      <c r="N122" s="39"/>
    </row>
    <row r="123" spans="1:14" hidden="1" x14ac:dyDescent="0.25">
      <c r="A123" s="26">
        <v>194</v>
      </c>
      <c r="B123" s="55" t="s">
        <v>46</v>
      </c>
      <c r="C123" s="19" t="s">
        <v>156</v>
      </c>
      <c r="D123" s="19" t="s">
        <v>16</v>
      </c>
      <c r="E123" s="51">
        <v>45467</v>
      </c>
      <c r="F123" s="26">
        <v>13</v>
      </c>
      <c r="G123" s="49"/>
      <c r="H123" s="26">
        <v>1</v>
      </c>
      <c r="I123" s="19">
        <f t="shared" si="9"/>
        <v>13</v>
      </c>
      <c r="J123" s="49"/>
      <c r="K123" s="49"/>
      <c r="L123" s="26"/>
      <c r="M123" s="26"/>
      <c r="N123" s="39"/>
    </row>
    <row r="124" spans="1:14" hidden="1" x14ac:dyDescent="0.25">
      <c r="A124" s="26">
        <v>195</v>
      </c>
      <c r="B124" s="52" t="s">
        <v>46</v>
      </c>
      <c r="C124" s="53" t="s">
        <v>156</v>
      </c>
      <c r="D124" s="19" t="s">
        <v>16</v>
      </c>
      <c r="E124" s="51">
        <v>45467</v>
      </c>
      <c r="F124" s="26">
        <v>14</v>
      </c>
      <c r="G124" s="49"/>
      <c r="H124" s="49"/>
      <c r="I124" s="19">
        <f t="shared" si="9"/>
        <v>14</v>
      </c>
      <c r="J124" s="49"/>
      <c r="K124" s="49"/>
      <c r="L124" s="26"/>
      <c r="M124" s="26"/>
      <c r="N124" s="39"/>
    </row>
    <row r="125" spans="1:14" hidden="1" x14ac:dyDescent="0.25">
      <c r="A125" s="26">
        <v>185</v>
      </c>
      <c r="B125" s="52" t="s">
        <v>107</v>
      </c>
      <c r="C125" s="53" t="s">
        <v>173</v>
      </c>
      <c r="D125" s="26" t="s">
        <v>104</v>
      </c>
      <c r="E125" s="51">
        <v>45469</v>
      </c>
      <c r="F125" s="26">
        <v>254</v>
      </c>
      <c r="G125" s="49"/>
      <c r="H125" s="49"/>
      <c r="I125" s="19">
        <f t="shared" si="9"/>
        <v>254</v>
      </c>
      <c r="J125" s="49"/>
      <c r="K125" s="49"/>
      <c r="L125" s="26"/>
      <c r="M125" s="26"/>
      <c r="N125" s="39"/>
    </row>
    <row r="126" spans="1:14" hidden="1" x14ac:dyDescent="0.25">
      <c r="A126" s="26">
        <v>182</v>
      </c>
      <c r="B126" s="57" t="s">
        <v>33</v>
      </c>
      <c r="C126" s="53" t="s">
        <v>34</v>
      </c>
      <c r="D126" s="2" t="s">
        <v>104</v>
      </c>
      <c r="E126" s="51">
        <v>45471</v>
      </c>
      <c r="F126" s="26">
        <v>492</v>
      </c>
      <c r="G126" s="49"/>
      <c r="H126" s="49"/>
      <c r="I126" s="19">
        <f>F126-K317-K357-K418-K434</f>
        <v>84</v>
      </c>
      <c r="J126" s="49"/>
      <c r="K126" s="49"/>
      <c r="L126" s="26"/>
      <c r="M126" s="26"/>
      <c r="N126" s="39"/>
    </row>
    <row r="127" spans="1:14" hidden="1" x14ac:dyDescent="0.25">
      <c r="A127" s="26">
        <v>186</v>
      </c>
      <c r="B127" s="52" t="s">
        <v>109</v>
      </c>
      <c r="C127" s="53" t="s">
        <v>176</v>
      </c>
      <c r="D127" s="26" t="s">
        <v>104</v>
      </c>
      <c r="E127" s="51">
        <v>45476</v>
      </c>
      <c r="F127" s="26">
        <v>593</v>
      </c>
      <c r="G127" s="49"/>
      <c r="H127" s="49"/>
      <c r="I127" s="19">
        <f>F127-K407-K424-K450</f>
        <v>572</v>
      </c>
      <c r="J127" s="49"/>
      <c r="K127" s="49"/>
      <c r="L127" s="26"/>
      <c r="M127" s="26"/>
      <c r="N127" s="39"/>
    </row>
    <row r="128" spans="1:14" hidden="1" x14ac:dyDescent="0.25">
      <c r="A128" s="26">
        <v>160</v>
      </c>
      <c r="B128" s="52" t="s">
        <v>20</v>
      </c>
      <c r="C128" s="53" t="s">
        <v>129</v>
      </c>
      <c r="D128" s="19" t="s">
        <v>16</v>
      </c>
      <c r="E128" s="51">
        <v>45476</v>
      </c>
      <c r="F128" s="26">
        <v>566</v>
      </c>
      <c r="G128" s="49"/>
      <c r="H128" s="49"/>
      <c r="I128" s="19">
        <f>F128-K436</f>
        <v>449</v>
      </c>
      <c r="J128" s="49"/>
      <c r="K128" s="49"/>
      <c r="L128" s="26"/>
      <c r="M128" s="26"/>
      <c r="N128" s="39"/>
    </row>
    <row r="129" spans="1:14" hidden="1" x14ac:dyDescent="0.25">
      <c r="A129" s="26">
        <v>196</v>
      </c>
      <c r="B129" s="52" t="s">
        <v>70</v>
      </c>
      <c r="C129" s="53" t="s">
        <v>177</v>
      </c>
      <c r="D129" s="26" t="s">
        <v>178</v>
      </c>
      <c r="E129" s="51">
        <v>45477</v>
      </c>
      <c r="F129" s="26">
        <v>217</v>
      </c>
      <c r="G129" s="49"/>
      <c r="H129" s="49"/>
      <c r="I129" s="19">
        <f>F129-K308-K431-K461</f>
        <v>183</v>
      </c>
      <c r="J129" s="49"/>
      <c r="K129" s="49"/>
      <c r="L129" s="26"/>
      <c r="M129" s="26"/>
      <c r="N129" s="39"/>
    </row>
    <row r="130" spans="1:14" hidden="1" x14ac:dyDescent="0.25">
      <c r="A130" s="26">
        <v>162</v>
      </c>
      <c r="B130" s="52" t="s">
        <v>48</v>
      </c>
      <c r="C130" s="58" t="s">
        <v>77</v>
      </c>
      <c r="D130" s="10" t="s">
        <v>16</v>
      </c>
      <c r="E130" s="51">
        <v>45483</v>
      </c>
      <c r="F130" s="26">
        <v>389</v>
      </c>
      <c r="G130" s="49"/>
      <c r="H130" s="49"/>
      <c r="I130" s="19">
        <f t="shared" si="9"/>
        <v>389</v>
      </c>
      <c r="J130" s="49"/>
      <c r="K130" s="49"/>
      <c r="L130" s="26"/>
      <c r="M130" s="26"/>
      <c r="N130" s="39"/>
    </row>
    <row r="131" spans="1:14" hidden="1" x14ac:dyDescent="0.25">
      <c r="A131" s="26">
        <v>150</v>
      </c>
      <c r="B131" s="55" t="s">
        <v>70</v>
      </c>
      <c r="C131" s="19" t="s">
        <v>71</v>
      </c>
      <c r="D131" s="26" t="s">
        <v>72</v>
      </c>
      <c r="E131" s="51">
        <v>45484</v>
      </c>
      <c r="F131" s="26">
        <v>54</v>
      </c>
      <c r="G131" s="49"/>
      <c r="H131" s="49"/>
      <c r="I131" s="19">
        <f>F131-K288</f>
        <v>52</v>
      </c>
      <c r="J131" s="49"/>
      <c r="K131" s="49"/>
      <c r="L131" s="26"/>
      <c r="M131" s="26"/>
      <c r="N131" s="39"/>
    </row>
    <row r="132" spans="1:14" hidden="1" x14ac:dyDescent="0.25">
      <c r="A132" s="26">
        <v>202</v>
      </c>
      <c r="B132" s="52" t="s">
        <v>46</v>
      </c>
      <c r="C132" s="53" t="s">
        <v>156</v>
      </c>
      <c r="D132" s="10" t="s">
        <v>16</v>
      </c>
      <c r="E132" s="51">
        <v>45510</v>
      </c>
      <c r="F132" s="26">
        <v>973</v>
      </c>
      <c r="G132" s="49"/>
      <c r="H132" s="49"/>
      <c r="I132" s="19">
        <f t="shared" ref="I132:I151" si="10">F132</f>
        <v>973</v>
      </c>
      <c r="J132" s="49"/>
      <c r="K132" s="49"/>
      <c r="L132" s="26"/>
      <c r="M132" s="26"/>
      <c r="N132" s="39"/>
    </row>
    <row r="133" spans="1:14" hidden="1" x14ac:dyDescent="0.25">
      <c r="A133" s="26">
        <v>205</v>
      </c>
      <c r="B133" s="55" t="s">
        <v>133</v>
      </c>
      <c r="C133" s="19" t="s">
        <v>134</v>
      </c>
      <c r="D133" s="19" t="s">
        <v>16</v>
      </c>
      <c r="E133" s="51">
        <v>45506</v>
      </c>
      <c r="F133" s="26">
        <v>246</v>
      </c>
      <c r="G133" s="49"/>
      <c r="H133" s="49"/>
      <c r="I133" s="19">
        <f t="shared" si="10"/>
        <v>246</v>
      </c>
      <c r="J133" s="49"/>
      <c r="K133" s="49"/>
      <c r="L133" s="26"/>
      <c r="M133" s="26"/>
      <c r="N133" s="39"/>
    </row>
    <row r="134" spans="1:14" hidden="1" x14ac:dyDescent="0.25">
      <c r="A134" s="58">
        <v>167</v>
      </c>
      <c r="B134" s="52" t="s">
        <v>87</v>
      </c>
      <c r="C134" s="53" t="s">
        <v>179</v>
      </c>
      <c r="D134" s="10" t="s">
        <v>16</v>
      </c>
      <c r="E134" s="95">
        <v>45512</v>
      </c>
      <c r="F134" s="58">
        <v>199</v>
      </c>
      <c r="G134" s="96"/>
      <c r="H134" s="96"/>
      <c r="I134" s="53">
        <f t="shared" si="10"/>
        <v>199</v>
      </c>
      <c r="J134" s="96"/>
      <c r="K134" s="96"/>
      <c r="L134" s="58"/>
      <c r="M134" s="58"/>
      <c r="N134" s="91"/>
    </row>
    <row r="135" spans="1:14" hidden="1" x14ac:dyDescent="0.25">
      <c r="A135" s="22">
        <v>211</v>
      </c>
      <c r="B135" s="12" t="s">
        <v>127</v>
      </c>
      <c r="C135" s="9" t="s">
        <v>180</v>
      </c>
      <c r="D135" s="9" t="s">
        <v>16</v>
      </c>
      <c r="E135" s="23">
        <v>45533</v>
      </c>
      <c r="F135" s="22">
        <v>90</v>
      </c>
      <c r="G135" s="181"/>
      <c r="H135" s="181"/>
      <c r="I135" s="9">
        <f t="shared" si="10"/>
        <v>90</v>
      </c>
      <c r="J135" s="181"/>
      <c r="K135" s="181"/>
      <c r="L135" s="22"/>
      <c r="M135" s="22"/>
      <c r="N135" s="24"/>
    </row>
    <row r="136" spans="1:14" hidden="1" x14ac:dyDescent="0.25">
      <c r="A136" s="75">
        <v>163</v>
      </c>
      <c r="B136" s="172" t="s">
        <v>154</v>
      </c>
      <c r="C136" s="171" t="s">
        <v>155</v>
      </c>
      <c r="D136" s="70" t="s">
        <v>16</v>
      </c>
      <c r="E136" s="81">
        <v>45533</v>
      </c>
      <c r="F136" s="75">
        <v>394</v>
      </c>
      <c r="G136" s="82"/>
      <c r="H136" s="82"/>
      <c r="I136" s="70">
        <f t="shared" si="10"/>
        <v>394</v>
      </c>
      <c r="J136" s="82"/>
      <c r="K136" s="82"/>
      <c r="L136" s="75"/>
      <c r="M136" s="75"/>
      <c r="N136" s="83"/>
    </row>
    <row r="137" spans="1:14" hidden="1" x14ac:dyDescent="0.25">
      <c r="A137" s="26">
        <v>207</v>
      </c>
      <c r="B137" s="55" t="s">
        <v>125</v>
      </c>
      <c r="C137" s="19" t="s">
        <v>126</v>
      </c>
      <c r="D137" s="19" t="s">
        <v>16</v>
      </c>
      <c r="E137" s="51">
        <v>45533</v>
      </c>
      <c r="F137" s="26">
        <v>197</v>
      </c>
      <c r="G137" s="49"/>
      <c r="H137" s="49"/>
      <c r="I137" s="19">
        <f t="shared" si="10"/>
        <v>197</v>
      </c>
      <c r="J137" s="49"/>
      <c r="K137" s="49"/>
      <c r="L137" s="26"/>
      <c r="M137" s="26"/>
      <c r="N137" s="39"/>
    </row>
    <row r="138" spans="1:14" hidden="1" x14ac:dyDescent="0.25">
      <c r="A138" s="26">
        <v>153</v>
      </c>
      <c r="B138" s="52" t="s">
        <v>48</v>
      </c>
      <c r="C138" s="58" t="s">
        <v>77</v>
      </c>
      <c r="D138" s="19" t="s">
        <v>16</v>
      </c>
      <c r="E138" s="51">
        <v>45544</v>
      </c>
      <c r="F138" s="26">
        <v>296</v>
      </c>
      <c r="G138" s="49"/>
      <c r="H138" s="49"/>
      <c r="I138" s="19">
        <f t="shared" si="10"/>
        <v>296</v>
      </c>
      <c r="J138" s="49"/>
      <c r="K138" s="49"/>
      <c r="L138" s="26"/>
      <c r="M138" s="26"/>
      <c r="N138" s="39"/>
    </row>
    <row r="139" spans="1:14" hidden="1" x14ac:dyDescent="0.25">
      <c r="A139" s="26">
        <v>201</v>
      </c>
      <c r="B139" s="50" t="s">
        <v>82</v>
      </c>
      <c r="C139" s="43" t="s">
        <v>83</v>
      </c>
      <c r="D139" s="19" t="s">
        <v>16</v>
      </c>
      <c r="E139" s="51">
        <v>45545</v>
      </c>
      <c r="F139" s="26">
        <v>559</v>
      </c>
      <c r="G139" s="49"/>
      <c r="H139" s="26">
        <v>1</v>
      </c>
      <c r="I139" s="19">
        <f t="shared" si="10"/>
        <v>559</v>
      </c>
      <c r="J139" s="49"/>
      <c r="K139" s="49"/>
      <c r="L139" s="26"/>
      <c r="M139" s="26"/>
      <c r="N139" s="39"/>
    </row>
    <row r="140" spans="1:14" hidden="1" x14ac:dyDescent="0.25">
      <c r="A140" s="26">
        <v>220</v>
      </c>
      <c r="B140" s="55" t="s">
        <v>181</v>
      </c>
      <c r="C140" s="19" t="s">
        <v>182</v>
      </c>
      <c r="D140" s="10" t="s">
        <v>183</v>
      </c>
      <c r="E140" s="51">
        <v>45569</v>
      </c>
      <c r="F140" s="2">
        <v>33</v>
      </c>
      <c r="G140" s="49"/>
      <c r="H140" s="2">
        <v>12</v>
      </c>
      <c r="I140" s="19">
        <f t="shared" si="10"/>
        <v>33</v>
      </c>
      <c r="J140" s="1"/>
      <c r="K140" s="49"/>
      <c r="M140" s="26"/>
      <c r="N140" s="39"/>
    </row>
    <row r="141" spans="1:14" hidden="1" x14ac:dyDescent="0.25">
      <c r="A141" s="26">
        <v>215</v>
      </c>
      <c r="B141" s="59" t="s">
        <v>84</v>
      </c>
      <c r="C141" s="60" t="s">
        <v>85</v>
      </c>
      <c r="D141" s="26" t="s">
        <v>104</v>
      </c>
      <c r="E141" s="51">
        <v>45573</v>
      </c>
      <c r="F141" s="26">
        <v>193</v>
      </c>
      <c r="G141" s="49"/>
      <c r="H141" s="26"/>
      <c r="I141" s="19">
        <f>F141-K325-K360-K413-K443</f>
        <v>166</v>
      </c>
      <c r="J141" s="49"/>
      <c r="K141" s="49"/>
      <c r="L141" s="26"/>
      <c r="M141" s="26"/>
      <c r="N141" s="39"/>
    </row>
    <row r="142" spans="1:14" x14ac:dyDescent="0.25">
      <c r="A142" s="262" t="s">
        <v>184</v>
      </c>
      <c r="B142" s="52" t="s">
        <v>37</v>
      </c>
      <c r="C142" s="53" t="s">
        <v>38</v>
      </c>
      <c r="D142" s="26" t="s">
        <v>104</v>
      </c>
      <c r="E142" s="51">
        <v>45574</v>
      </c>
      <c r="F142" s="26">
        <v>277</v>
      </c>
      <c r="G142" s="49"/>
      <c r="H142" s="26"/>
      <c r="I142" s="19">
        <f>F142-K433-K468-K483</f>
        <v>135</v>
      </c>
      <c r="J142" s="49"/>
      <c r="K142" s="49"/>
      <c r="L142" s="26"/>
      <c r="M142" s="26"/>
      <c r="N142" s="39"/>
    </row>
    <row r="143" spans="1:14" hidden="1" x14ac:dyDescent="0.25">
      <c r="A143" s="26" t="s">
        <v>185</v>
      </c>
      <c r="B143" s="52" t="s">
        <v>46</v>
      </c>
      <c r="C143" s="53" t="s">
        <v>156</v>
      </c>
      <c r="D143" s="19" t="s">
        <v>16</v>
      </c>
      <c r="E143" s="51">
        <v>45576</v>
      </c>
      <c r="F143" s="26">
        <v>248</v>
      </c>
      <c r="G143" s="49"/>
      <c r="H143" s="26"/>
      <c r="I143" s="19">
        <f t="shared" si="10"/>
        <v>248</v>
      </c>
      <c r="J143" s="49"/>
      <c r="K143" s="49"/>
      <c r="L143" s="26"/>
      <c r="M143" s="26"/>
      <c r="N143" s="39"/>
    </row>
    <row r="144" spans="1:14" hidden="1" x14ac:dyDescent="0.25">
      <c r="A144" s="26" t="s">
        <v>527</v>
      </c>
      <c r="B144" s="55" t="s">
        <v>58</v>
      </c>
      <c r="C144" s="19" t="s">
        <v>59</v>
      </c>
      <c r="D144" s="26" t="s">
        <v>186</v>
      </c>
      <c r="E144" s="51">
        <v>45609</v>
      </c>
      <c r="F144" s="26">
        <v>122</v>
      </c>
      <c r="G144" s="49"/>
      <c r="H144" s="26"/>
      <c r="I144" s="19">
        <f>F144-K390-K393-K397-K405</f>
        <v>0</v>
      </c>
      <c r="J144" s="49"/>
      <c r="K144" s="49"/>
      <c r="L144" s="26"/>
      <c r="M144" s="26"/>
      <c r="N144" s="39"/>
    </row>
    <row r="145" spans="1:14" hidden="1" x14ac:dyDescent="0.25">
      <c r="A145" s="26" t="s">
        <v>187</v>
      </c>
      <c r="B145" s="52" t="s">
        <v>188</v>
      </c>
      <c r="C145" s="53" t="s">
        <v>189</v>
      </c>
      <c r="D145" s="26" t="s">
        <v>186</v>
      </c>
      <c r="E145" s="51">
        <v>45609</v>
      </c>
      <c r="F145" s="26">
        <v>82</v>
      </c>
      <c r="G145" s="49"/>
      <c r="H145" s="26"/>
      <c r="I145" s="19">
        <f>F145-K314-K329</f>
        <v>37</v>
      </c>
      <c r="J145" s="49"/>
      <c r="K145" s="49"/>
      <c r="L145" s="26"/>
      <c r="M145" s="26"/>
      <c r="N145" s="39"/>
    </row>
    <row r="146" spans="1:14" hidden="1" x14ac:dyDescent="0.25">
      <c r="A146" s="26">
        <v>216</v>
      </c>
      <c r="B146" s="56" t="s">
        <v>33</v>
      </c>
      <c r="C146" s="61" t="s">
        <v>34</v>
      </c>
      <c r="D146" s="19" t="s">
        <v>104</v>
      </c>
      <c r="E146" s="51">
        <v>45614</v>
      </c>
      <c r="F146" s="26">
        <v>846</v>
      </c>
      <c r="G146" s="49"/>
      <c r="H146" s="26"/>
      <c r="I146" s="19">
        <f>F146-K480</f>
        <v>758</v>
      </c>
      <c r="J146" s="49"/>
      <c r="K146" s="49"/>
      <c r="L146" s="26"/>
      <c r="M146" s="26"/>
      <c r="N146" s="39"/>
    </row>
    <row r="147" spans="1:14" hidden="1" x14ac:dyDescent="0.25">
      <c r="A147" s="26">
        <v>231</v>
      </c>
      <c r="B147" s="52" t="s">
        <v>46</v>
      </c>
      <c r="C147" s="53" t="s">
        <v>156</v>
      </c>
      <c r="D147" s="19" t="s">
        <v>16</v>
      </c>
      <c r="E147" s="51">
        <v>45614</v>
      </c>
      <c r="F147" s="26">
        <v>245</v>
      </c>
      <c r="G147" s="49"/>
      <c r="H147" s="26"/>
      <c r="I147" s="19">
        <f t="shared" si="10"/>
        <v>245</v>
      </c>
      <c r="J147" s="49"/>
      <c r="K147" s="49"/>
      <c r="L147" s="26"/>
      <c r="M147" s="26"/>
      <c r="N147" s="39"/>
    </row>
    <row r="148" spans="1:14" hidden="1" x14ac:dyDescent="0.25">
      <c r="A148" s="26">
        <v>223</v>
      </c>
      <c r="B148" s="52" t="s">
        <v>145</v>
      </c>
      <c r="C148" s="53" t="s">
        <v>146</v>
      </c>
      <c r="D148" s="19" t="s">
        <v>16</v>
      </c>
      <c r="E148" s="51">
        <v>45614</v>
      </c>
      <c r="F148" s="26">
        <v>346</v>
      </c>
      <c r="G148" s="49"/>
      <c r="H148" s="26"/>
      <c r="I148" s="19">
        <f t="shared" si="10"/>
        <v>346</v>
      </c>
      <c r="J148" s="49"/>
      <c r="K148" s="49"/>
      <c r="L148" s="26"/>
      <c r="M148" s="26"/>
      <c r="N148" s="39"/>
    </row>
    <row r="149" spans="1:14" hidden="1" x14ac:dyDescent="0.25">
      <c r="A149" s="26">
        <v>212</v>
      </c>
      <c r="B149" s="55" t="s">
        <v>14</v>
      </c>
      <c r="C149" s="19" t="s">
        <v>122</v>
      </c>
      <c r="D149" s="19" t="s">
        <v>16</v>
      </c>
      <c r="E149" s="51">
        <v>45623</v>
      </c>
      <c r="F149" s="26">
        <v>390</v>
      </c>
      <c r="G149" s="49"/>
      <c r="H149" s="26"/>
      <c r="I149" s="19">
        <f t="shared" si="10"/>
        <v>390</v>
      </c>
      <c r="J149" s="49"/>
      <c r="K149" s="49"/>
      <c r="L149" s="26"/>
      <c r="M149" s="26"/>
      <c r="N149" s="39"/>
    </row>
    <row r="150" spans="1:14" hidden="1" x14ac:dyDescent="0.25">
      <c r="A150" s="26" t="s">
        <v>190</v>
      </c>
      <c r="B150" s="57" t="s">
        <v>33</v>
      </c>
      <c r="C150" s="62" t="s">
        <v>34</v>
      </c>
      <c r="D150" s="19" t="s">
        <v>104</v>
      </c>
      <c r="E150" s="51">
        <v>45635</v>
      </c>
      <c r="F150" s="26">
        <v>1045</v>
      </c>
      <c r="G150" s="49"/>
      <c r="H150" s="26"/>
      <c r="I150" s="19">
        <f t="shared" si="10"/>
        <v>1045</v>
      </c>
      <c r="J150" s="49"/>
      <c r="K150" s="49"/>
      <c r="L150" s="26"/>
      <c r="M150" s="26"/>
      <c r="N150" s="39"/>
    </row>
    <row r="151" spans="1:14" hidden="1" x14ac:dyDescent="0.25">
      <c r="A151" s="26">
        <v>226</v>
      </c>
      <c r="B151" s="55" t="s">
        <v>26</v>
      </c>
      <c r="C151" s="19" t="s">
        <v>191</v>
      </c>
      <c r="D151" s="19" t="s">
        <v>192</v>
      </c>
      <c r="E151" s="51">
        <v>45636</v>
      </c>
      <c r="F151" s="26">
        <v>174</v>
      </c>
      <c r="G151" s="49"/>
      <c r="H151" s="26"/>
      <c r="I151" s="19">
        <f t="shared" si="10"/>
        <v>174</v>
      </c>
      <c r="J151" s="49"/>
      <c r="K151" s="49"/>
      <c r="L151" s="26"/>
      <c r="M151" s="26"/>
      <c r="N151" s="39"/>
    </row>
    <row r="152" spans="1:14" x14ac:dyDescent="0.25">
      <c r="A152" s="26">
        <v>214</v>
      </c>
      <c r="B152" s="52" t="s">
        <v>37</v>
      </c>
      <c r="C152" s="19" t="s">
        <v>38</v>
      </c>
      <c r="D152" s="26" t="s">
        <v>104</v>
      </c>
      <c r="E152" s="51">
        <v>45639</v>
      </c>
      <c r="F152" s="26">
        <v>2581</v>
      </c>
      <c r="G152" s="49"/>
      <c r="H152" s="26"/>
      <c r="I152" s="19">
        <f>F152-K482</f>
        <v>2361</v>
      </c>
      <c r="J152" s="49"/>
      <c r="K152" s="49"/>
      <c r="L152" s="26"/>
      <c r="M152" s="26"/>
      <c r="N152" s="39"/>
    </row>
    <row r="153" spans="1:14" hidden="1" x14ac:dyDescent="0.25">
      <c r="A153" s="26">
        <v>210</v>
      </c>
      <c r="B153" s="55" t="s">
        <v>193</v>
      </c>
      <c r="C153" s="19" t="s">
        <v>130</v>
      </c>
      <c r="D153" s="19" t="s">
        <v>16</v>
      </c>
      <c r="E153" s="51">
        <v>45651</v>
      </c>
      <c r="F153" s="26">
        <v>390</v>
      </c>
      <c r="G153" s="49"/>
      <c r="H153" s="26"/>
      <c r="I153" s="19">
        <f>F153-K354</f>
        <v>387</v>
      </c>
      <c r="J153" s="49"/>
      <c r="K153" s="49"/>
      <c r="L153" s="26"/>
      <c r="M153" s="26"/>
      <c r="N153" s="39"/>
    </row>
    <row r="154" spans="1:14" hidden="1" x14ac:dyDescent="0.25">
      <c r="A154" s="26">
        <v>208</v>
      </c>
      <c r="B154" s="55" t="s">
        <v>194</v>
      </c>
      <c r="C154" s="19" t="s">
        <v>144</v>
      </c>
      <c r="D154" s="19" t="s">
        <v>16</v>
      </c>
      <c r="E154" s="51">
        <v>45693</v>
      </c>
      <c r="F154" s="26">
        <v>198</v>
      </c>
      <c r="G154" s="49"/>
      <c r="H154" s="26"/>
      <c r="I154" s="19">
        <f t="shared" ref="I154:I168" si="11">F154</f>
        <v>198</v>
      </c>
      <c r="J154" s="49"/>
      <c r="K154" s="49"/>
      <c r="L154" s="26"/>
      <c r="M154" s="26"/>
      <c r="N154" s="39"/>
    </row>
    <row r="155" spans="1:14" hidden="1" x14ac:dyDescent="0.25">
      <c r="A155" s="263"/>
      <c r="B155" s="264" t="s">
        <v>188</v>
      </c>
      <c r="C155" s="263"/>
      <c r="D155" s="263"/>
      <c r="E155" s="95">
        <v>45714</v>
      </c>
      <c r="F155" s="58">
        <v>36</v>
      </c>
      <c r="G155" s="96"/>
      <c r="H155" s="58"/>
      <c r="I155" s="53">
        <f t="shared" si="11"/>
        <v>36</v>
      </c>
      <c r="J155" s="96"/>
      <c r="K155" s="96"/>
      <c r="L155" s="58"/>
      <c r="M155" s="58"/>
      <c r="N155" s="91"/>
    </row>
    <row r="156" spans="1:14" hidden="1" x14ac:dyDescent="0.25">
      <c r="A156" s="22">
        <v>209</v>
      </c>
      <c r="B156" s="12" t="s">
        <v>354</v>
      </c>
      <c r="C156" s="9" t="s">
        <v>129</v>
      </c>
      <c r="D156" s="9" t="s">
        <v>16</v>
      </c>
      <c r="E156" s="23">
        <v>45723</v>
      </c>
      <c r="F156" s="22">
        <v>584</v>
      </c>
      <c r="G156" s="181"/>
      <c r="H156" s="22"/>
      <c r="I156" s="9">
        <f t="shared" si="11"/>
        <v>584</v>
      </c>
      <c r="J156" s="181"/>
      <c r="K156" s="181"/>
      <c r="L156" s="22"/>
      <c r="M156" s="22"/>
      <c r="N156" s="24"/>
    </row>
    <row r="157" spans="1:14" hidden="1" x14ac:dyDescent="0.25">
      <c r="A157" s="22"/>
      <c r="B157" s="12" t="s">
        <v>357</v>
      </c>
      <c r="C157" s="9" t="s">
        <v>355</v>
      </c>
      <c r="D157" s="9" t="s">
        <v>356</v>
      </c>
      <c r="E157" s="23">
        <v>45726</v>
      </c>
      <c r="F157" s="22">
        <v>14</v>
      </c>
      <c r="G157" s="181"/>
      <c r="H157" s="22"/>
      <c r="I157" s="9">
        <f t="shared" si="11"/>
        <v>14</v>
      </c>
      <c r="J157" s="181"/>
      <c r="K157" s="181"/>
      <c r="L157" s="22"/>
      <c r="M157" s="22"/>
      <c r="N157" s="24"/>
    </row>
    <row r="158" spans="1:14" hidden="1" x14ac:dyDescent="0.25">
      <c r="A158" s="22">
        <v>206</v>
      </c>
      <c r="B158" s="12" t="s">
        <v>135</v>
      </c>
      <c r="C158" s="9" t="s">
        <v>136</v>
      </c>
      <c r="D158" s="9" t="s">
        <v>16</v>
      </c>
      <c r="E158" s="23">
        <v>45728</v>
      </c>
      <c r="F158" s="22">
        <v>295</v>
      </c>
      <c r="G158" s="181"/>
      <c r="H158" s="22"/>
      <c r="I158" s="9">
        <f t="shared" si="11"/>
        <v>295</v>
      </c>
      <c r="J158" s="181"/>
      <c r="K158" s="181"/>
      <c r="L158" s="22"/>
      <c r="M158" s="22"/>
      <c r="N158" s="24"/>
    </row>
    <row r="159" spans="1:14" hidden="1" x14ac:dyDescent="0.25">
      <c r="A159" s="22" t="s">
        <v>364</v>
      </c>
      <c r="B159" s="12" t="s">
        <v>365</v>
      </c>
      <c r="C159" s="9" t="s">
        <v>366</v>
      </c>
      <c r="D159" s="9" t="s">
        <v>367</v>
      </c>
      <c r="E159" s="23">
        <v>45726</v>
      </c>
      <c r="F159" s="22">
        <v>13</v>
      </c>
      <c r="G159" s="181"/>
      <c r="H159" s="22"/>
      <c r="I159" s="9">
        <f t="shared" si="11"/>
        <v>13</v>
      </c>
      <c r="J159" s="181"/>
      <c r="K159" s="181"/>
      <c r="L159" s="22"/>
      <c r="M159" s="22"/>
      <c r="N159" s="24"/>
    </row>
    <row r="160" spans="1:14" hidden="1" x14ac:dyDescent="0.25">
      <c r="A160" s="22" t="s">
        <v>368</v>
      </c>
      <c r="B160" s="12" t="s">
        <v>135</v>
      </c>
      <c r="C160" s="9" t="s">
        <v>136</v>
      </c>
      <c r="D160" s="9" t="s">
        <v>16</v>
      </c>
      <c r="E160" s="23">
        <v>45729</v>
      </c>
      <c r="F160" s="22">
        <v>283</v>
      </c>
      <c r="G160" s="181"/>
      <c r="H160" s="22"/>
      <c r="I160" s="9">
        <f t="shared" si="11"/>
        <v>283</v>
      </c>
      <c r="J160" s="181"/>
      <c r="K160" s="181"/>
      <c r="L160" s="22"/>
      <c r="M160" s="22"/>
      <c r="N160" s="24"/>
    </row>
    <row r="161" spans="1:14" hidden="1" x14ac:dyDescent="0.25">
      <c r="A161" s="22">
        <v>189</v>
      </c>
      <c r="B161" s="12" t="s">
        <v>153</v>
      </c>
      <c r="C161" s="9" t="s">
        <v>428</v>
      </c>
      <c r="D161" s="9" t="s">
        <v>104</v>
      </c>
      <c r="E161" s="23">
        <v>45762</v>
      </c>
      <c r="F161" s="22">
        <v>199</v>
      </c>
      <c r="G161" s="181"/>
      <c r="H161" s="22"/>
      <c r="I161" s="9">
        <f t="shared" si="11"/>
        <v>199</v>
      </c>
      <c r="J161" s="181"/>
      <c r="K161" s="181"/>
      <c r="L161" s="22"/>
      <c r="M161" s="22"/>
      <c r="N161" s="24"/>
    </row>
    <row r="162" spans="1:14" hidden="1" x14ac:dyDescent="0.25">
      <c r="A162" s="265"/>
      <c r="B162" s="266" t="s">
        <v>429</v>
      </c>
      <c r="C162" s="265"/>
      <c r="D162" s="265"/>
      <c r="E162" s="267"/>
      <c r="F162" s="22">
        <v>64</v>
      </c>
      <c r="G162" s="181"/>
      <c r="H162" s="22"/>
      <c r="I162" s="9">
        <f t="shared" si="11"/>
        <v>64</v>
      </c>
      <c r="J162" s="181"/>
      <c r="K162" s="181"/>
      <c r="L162" s="22"/>
      <c r="M162" s="22"/>
      <c r="N162" s="24"/>
    </row>
    <row r="163" spans="1:14" hidden="1" x14ac:dyDescent="0.25">
      <c r="A163" s="22">
        <v>269</v>
      </c>
      <c r="B163" s="12" t="s">
        <v>145</v>
      </c>
      <c r="C163" s="9" t="s">
        <v>98</v>
      </c>
      <c r="D163" s="9" t="s">
        <v>16</v>
      </c>
      <c r="E163" s="23">
        <v>45775</v>
      </c>
      <c r="F163" s="22">
        <v>276</v>
      </c>
      <c r="G163" s="181"/>
      <c r="H163" s="22"/>
      <c r="I163" s="9">
        <f t="shared" si="11"/>
        <v>276</v>
      </c>
      <c r="J163" s="181"/>
      <c r="K163" s="181"/>
      <c r="L163" s="22"/>
      <c r="M163" s="22"/>
      <c r="N163" s="24"/>
    </row>
    <row r="164" spans="1:14" hidden="1" x14ac:dyDescent="0.25">
      <c r="A164" s="28">
        <v>199</v>
      </c>
      <c r="B164" s="12" t="s">
        <v>150</v>
      </c>
      <c r="C164" s="18" t="s">
        <v>529</v>
      </c>
      <c r="D164" s="9" t="s">
        <v>16</v>
      </c>
      <c r="E164" s="23">
        <v>45784</v>
      </c>
      <c r="F164" s="22">
        <v>197</v>
      </c>
      <c r="G164" s="181"/>
      <c r="H164" s="22"/>
      <c r="I164" s="9">
        <f t="shared" si="11"/>
        <v>197</v>
      </c>
      <c r="J164" s="181"/>
      <c r="K164" s="181"/>
      <c r="L164" s="22"/>
      <c r="M164" s="22"/>
      <c r="N164" s="24"/>
    </row>
    <row r="165" spans="1:14" hidden="1" x14ac:dyDescent="0.25">
      <c r="A165" s="22">
        <v>198</v>
      </c>
      <c r="B165" s="12" t="s">
        <v>48</v>
      </c>
      <c r="C165" s="22" t="s">
        <v>77</v>
      </c>
      <c r="D165" s="9" t="s">
        <v>16</v>
      </c>
      <c r="E165" s="23">
        <v>45793</v>
      </c>
      <c r="F165" s="22">
        <v>214</v>
      </c>
      <c r="G165" s="181"/>
      <c r="H165" s="22"/>
      <c r="I165" s="9">
        <f t="shared" si="11"/>
        <v>214</v>
      </c>
      <c r="J165" s="181"/>
      <c r="K165" s="181"/>
      <c r="L165" s="22"/>
      <c r="M165" s="22"/>
      <c r="N165" s="24"/>
    </row>
    <row r="166" spans="1:14" hidden="1" x14ac:dyDescent="0.25">
      <c r="A166" s="22">
        <v>67</v>
      </c>
      <c r="B166" s="12" t="s">
        <v>58</v>
      </c>
      <c r="C166" s="9" t="s">
        <v>59</v>
      </c>
      <c r="D166" s="22" t="s">
        <v>60</v>
      </c>
      <c r="E166" s="23">
        <v>45810</v>
      </c>
      <c r="F166" s="22">
        <v>124</v>
      </c>
      <c r="G166" s="181"/>
      <c r="H166" s="22"/>
      <c r="I166" s="9">
        <f>F166-K406</f>
        <v>0</v>
      </c>
      <c r="J166" s="181"/>
      <c r="K166" s="181"/>
      <c r="L166" s="22"/>
      <c r="M166" s="22"/>
      <c r="N166" s="24"/>
    </row>
    <row r="167" spans="1:14" hidden="1" x14ac:dyDescent="0.25">
      <c r="A167" s="22">
        <v>213</v>
      </c>
      <c r="B167" s="12" t="s">
        <v>17</v>
      </c>
      <c r="C167" s="9" t="s">
        <v>18</v>
      </c>
      <c r="D167" s="9" t="s">
        <v>16</v>
      </c>
      <c r="E167" s="23">
        <v>45812</v>
      </c>
      <c r="F167" s="22">
        <v>257</v>
      </c>
      <c r="G167" s="181"/>
      <c r="H167" s="22"/>
      <c r="I167" s="9">
        <f t="shared" si="11"/>
        <v>257</v>
      </c>
      <c r="J167" s="181"/>
      <c r="K167" s="181"/>
      <c r="L167" s="22"/>
      <c r="M167" s="22"/>
      <c r="N167" s="24"/>
    </row>
    <row r="168" spans="1:14" hidden="1" x14ac:dyDescent="0.25">
      <c r="A168" s="22">
        <v>188</v>
      </c>
      <c r="B168" s="12" t="s">
        <v>555</v>
      </c>
      <c r="C168" s="9" t="s">
        <v>556</v>
      </c>
      <c r="D168" s="9" t="s">
        <v>104</v>
      </c>
      <c r="E168" s="23">
        <v>45826</v>
      </c>
      <c r="F168" s="22">
        <v>298</v>
      </c>
      <c r="G168" s="181"/>
      <c r="H168" s="22"/>
      <c r="I168" s="9">
        <f t="shared" si="11"/>
        <v>298</v>
      </c>
      <c r="J168" s="181"/>
      <c r="K168" s="181"/>
      <c r="L168" s="22"/>
      <c r="M168" s="22"/>
      <c r="N168" s="24"/>
    </row>
    <row r="169" spans="1:14" hidden="1" x14ac:dyDescent="0.25">
      <c r="A169" s="22" t="s">
        <v>35</v>
      </c>
      <c r="B169" s="12" t="s">
        <v>664</v>
      </c>
      <c r="C169" s="9"/>
      <c r="D169" s="9"/>
      <c r="E169" s="23">
        <v>45891</v>
      </c>
      <c r="F169" s="22">
        <v>58</v>
      </c>
      <c r="G169" s="181"/>
      <c r="H169" s="22"/>
      <c r="I169" s="9">
        <f>F169-K420</f>
        <v>55</v>
      </c>
      <c r="J169" s="181"/>
      <c r="K169" s="181"/>
      <c r="L169" s="22"/>
      <c r="M169" s="22"/>
      <c r="N169" s="24"/>
    </row>
    <row r="170" spans="1:14" hidden="1" x14ac:dyDescent="0.25">
      <c r="A170" s="63" t="s">
        <v>195</v>
      </c>
      <c r="B170" s="64"/>
      <c r="C170" s="64"/>
      <c r="D170" s="65"/>
      <c r="E170" s="64"/>
      <c r="F170" s="64"/>
      <c r="G170" s="64"/>
      <c r="H170" s="64"/>
      <c r="I170" s="64"/>
      <c r="J170" s="64"/>
      <c r="K170" s="64"/>
      <c r="L170" s="64"/>
      <c r="M170" s="64"/>
      <c r="N170" s="66"/>
    </row>
    <row r="171" spans="1:14" hidden="1" x14ac:dyDescent="0.25">
      <c r="A171" s="7" t="s">
        <v>13</v>
      </c>
      <c r="B171" s="8" t="s">
        <v>14</v>
      </c>
      <c r="C171" s="18" t="s">
        <v>15</v>
      </c>
      <c r="D171" s="19" t="s">
        <v>16</v>
      </c>
      <c r="E171" s="30"/>
      <c r="F171" s="7"/>
      <c r="G171" s="7"/>
      <c r="H171" s="7"/>
      <c r="I171" s="7"/>
      <c r="J171" s="11">
        <v>45090</v>
      </c>
      <c r="K171" s="7">
        <v>32</v>
      </c>
      <c r="L171" s="7" t="s">
        <v>196</v>
      </c>
      <c r="M171" s="9" t="s">
        <v>206</v>
      </c>
      <c r="N171" s="7" t="s">
        <v>197</v>
      </c>
    </row>
    <row r="172" spans="1:14" hidden="1" x14ac:dyDescent="0.25">
      <c r="A172" s="9">
        <v>42</v>
      </c>
      <c r="B172" s="12" t="s">
        <v>17</v>
      </c>
      <c r="C172" s="18" t="s">
        <v>18</v>
      </c>
      <c r="D172" s="19" t="s">
        <v>16</v>
      </c>
      <c r="E172" s="20"/>
      <c r="F172" s="9"/>
      <c r="G172" s="9"/>
      <c r="H172" s="9"/>
      <c r="I172" s="9"/>
      <c r="J172" s="11">
        <v>45090</v>
      </c>
      <c r="K172" s="7">
        <v>32</v>
      </c>
      <c r="L172" s="9" t="s">
        <v>196</v>
      </c>
      <c r="M172" s="9" t="s">
        <v>206</v>
      </c>
      <c r="N172" s="9" t="s">
        <v>197</v>
      </c>
    </row>
    <row r="173" spans="1:14" hidden="1" x14ac:dyDescent="0.25">
      <c r="A173" s="9" t="s">
        <v>19</v>
      </c>
      <c r="B173" s="12" t="s">
        <v>20</v>
      </c>
      <c r="C173" s="18" t="s">
        <v>21</v>
      </c>
      <c r="D173" s="19" t="s">
        <v>16</v>
      </c>
      <c r="E173" s="20"/>
      <c r="F173" s="9"/>
      <c r="G173" s="9"/>
      <c r="H173" s="9"/>
      <c r="I173" s="9"/>
      <c r="J173" s="13">
        <v>45090</v>
      </c>
      <c r="K173" s="9">
        <v>25</v>
      </c>
      <c r="L173" s="9" t="s">
        <v>196</v>
      </c>
      <c r="M173" s="9" t="s">
        <v>206</v>
      </c>
      <c r="N173" s="9" t="s">
        <v>197</v>
      </c>
    </row>
    <row r="174" spans="1:14" hidden="1" x14ac:dyDescent="0.25">
      <c r="A174" s="9" t="s">
        <v>22</v>
      </c>
      <c r="B174" s="12" t="s">
        <v>20</v>
      </c>
      <c r="C174" s="18" t="s">
        <v>21</v>
      </c>
      <c r="D174" s="19" t="s">
        <v>16</v>
      </c>
      <c r="E174" s="20"/>
      <c r="F174" s="9"/>
      <c r="G174" s="9"/>
      <c r="H174" s="9"/>
      <c r="I174" s="9"/>
      <c r="J174" s="13">
        <v>45090</v>
      </c>
      <c r="K174" s="9">
        <v>7</v>
      </c>
      <c r="L174" s="9" t="s">
        <v>196</v>
      </c>
      <c r="M174" s="9" t="s">
        <v>206</v>
      </c>
      <c r="N174" s="9" t="s">
        <v>197</v>
      </c>
    </row>
    <row r="175" spans="1:14" hidden="1" x14ac:dyDescent="0.25">
      <c r="A175" s="9" t="s">
        <v>23</v>
      </c>
      <c r="B175" s="12" t="s">
        <v>24</v>
      </c>
      <c r="C175" s="18" t="s">
        <v>25</v>
      </c>
      <c r="D175" s="19" t="s">
        <v>16</v>
      </c>
      <c r="E175" s="20"/>
      <c r="F175" s="9"/>
      <c r="G175" s="9"/>
      <c r="H175" s="9"/>
      <c r="I175" s="9"/>
      <c r="J175" s="13">
        <v>45090</v>
      </c>
      <c r="K175" s="9">
        <v>32</v>
      </c>
      <c r="L175" s="9" t="s">
        <v>196</v>
      </c>
      <c r="M175" s="9" t="s">
        <v>206</v>
      </c>
      <c r="N175" s="9" t="s">
        <v>197</v>
      </c>
    </row>
    <row r="176" spans="1:14" hidden="1" x14ac:dyDescent="0.25">
      <c r="A176" s="9" t="s">
        <v>35</v>
      </c>
      <c r="B176" s="16" t="s">
        <v>33</v>
      </c>
      <c r="C176" s="18" t="s">
        <v>34</v>
      </c>
      <c r="D176" s="19"/>
      <c r="E176" s="20"/>
      <c r="F176" s="9"/>
      <c r="G176" s="9"/>
      <c r="H176" s="9"/>
      <c r="I176" s="9"/>
      <c r="J176" s="13">
        <v>45090</v>
      </c>
      <c r="K176" s="9">
        <v>64</v>
      </c>
      <c r="L176" s="9" t="s">
        <v>196</v>
      </c>
      <c r="M176" s="9" t="s">
        <v>206</v>
      </c>
      <c r="N176" s="9" t="s">
        <v>197</v>
      </c>
    </row>
    <row r="177" spans="1:14" x14ac:dyDescent="0.25">
      <c r="A177" s="9">
        <v>59</v>
      </c>
      <c r="B177" s="12" t="s">
        <v>37</v>
      </c>
      <c r="C177" s="18" t="s">
        <v>38</v>
      </c>
      <c r="D177" s="19" t="s">
        <v>16</v>
      </c>
      <c r="E177" s="20"/>
      <c r="F177" s="9"/>
      <c r="G177" s="9"/>
      <c r="H177" s="9"/>
      <c r="I177" s="9"/>
      <c r="J177" s="13">
        <v>45090</v>
      </c>
      <c r="K177" s="9">
        <v>160</v>
      </c>
      <c r="L177" s="9" t="s">
        <v>196</v>
      </c>
      <c r="M177" s="9" t="s">
        <v>206</v>
      </c>
      <c r="N177" s="9" t="s">
        <v>197</v>
      </c>
    </row>
    <row r="178" spans="1:14" x14ac:dyDescent="0.25">
      <c r="A178" s="7">
        <v>59</v>
      </c>
      <c r="B178" s="12" t="s">
        <v>37</v>
      </c>
      <c r="C178" s="18" t="s">
        <v>38</v>
      </c>
      <c r="D178" s="19" t="s">
        <v>16</v>
      </c>
      <c r="E178" s="20"/>
      <c r="F178" s="9"/>
      <c r="G178" s="9"/>
      <c r="H178" s="9"/>
      <c r="I178" s="9"/>
      <c r="J178" s="13">
        <v>45105</v>
      </c>
      <c r="K178" s="9">
        <v>8</v>
      </c>
      <c r="L178" s="9" t="s">
        <v>196</v>
      </c>
      <c r="M178" s="9" t="s">
        <v>206</v>
      </c>
      <c r="N178" s="9" t="s">
        <v>197</v>
      </c>
    </row>
    <row r="179" spans="1:14" x14ac:dyDescent="0.25">
      <c r="A179" s="7" t="s">
        <v>39</v>
      </c>
      <c r="B179" s="12" t="s">
        <v>37</v>
      </c>
      <c r="C179" s="18" t="s">
        <v>38</v>
      </c>
      <c r="D179" s="19" t="s">
        <v>16</v>
      </c>
      <c r="E179" s="20"/>
      <c r="F179" s="9"/>
      <c r="G179" s="9"/>
      <c r="H179" s="9"/>
      <c r="I179" s="9"/>
      <c r="J179" s="13">
        <v>45105</v>
      </c>
      <c r="K179" s="9">
        <v>18</v>
      </c>
      <c r="L179" s="9" t="s">
        <v>196</v>
      </c>
      <c r="M179" s="9" t="s">
        <v>206</v>
      </c>
      <c r="N179" s="9" t="s">
        <v>197</v>
      </c>
    </row>
    <row r="180" spans="1:14" x14ac:dyDescent="0.25">
      <c r="A180" s="7" t="s">
        <v>35</v>
      </c>
      <c r="B180" s="12" t="s">
        <v>37</v>
      </c>
      <c r="C180" s="9" t="s">
        <v>38</v>
      </c>
      <c r="D180" s="67"/>
      <c r="E180" s="13"/>
      <c r="F180" s="9"/>
      <c r="G180" s="9"/>
      <c r="H180" s="9"/>
      <c r="I180" s="9"/>
      <c r="J180" s="13">
        <v>45105</v>
      </c>
      <c r="K180" s="9">
        <v>112</v>
      </c>
      <c r="L180" s="9" t="s">
        <v>196</v>
      </c>
      <c r="M180" s="9" t="s">
        <v>206</v>
      </c>
      <c r="N180" s="9" t="s">
        <v>197</v>
      </c>
    </row>
    <row r="181" spans="1:14" x14ac:dyDescent="0.25">
      <c r="A181" s="7" t="s">
        <v>40</v>
      </c>
      <c r="B181" s="12" t="s">
        <v>37</v>
      </c>
      <c r="C181" s="18" t="s">
        <v>38</v>
      </c>
      <c r="D181" s="19" t="s">
        <v>16</v>
      </c>
      <c r="E181" s="20"/>
      <c r="F181" s="9"/>
      <c r="G181" s="9"/>
      <c r="H181" s="9"/>
      <c r="I181" s="9"/>
      <c r="J181" s="13">
        <v>45105</v>
      </c>
      <c r="K181" s="9">
        <v>22</v>
      </c>
      <c r="L181" s="9" t="s">
        <v>196</v>
      </c>
      <c r="M181" s="9" t="s">
        <v>206</v>
      </c>
      <c r="N181" s="9" t="s">
        <v>197</v>
      </c>
    </row>
    <row r="182" spans="1:14" hidden="1" x14ac:dyDescent="0.25">
      <c r="A182" s="7" t="s">
        <v>35</v>
      </c>
      <c r="B182" s="12" t="s">
        <v>73</v>
      </c>
      <c r="C182" s="9" t="s">
        <v>198</v>
      </c>
      <c r="D182" s="7"/>
      <c r="E182" s="13"/>
      <c r="F182" s="9"/>
      <c r="G182" s="9"/>
      <c r="H182" s="9"/>
      <c r="I182" s="9"/>
      <c r="J182" s="13">
        <v>45105</v>
      </c>
      <c r="K182" s="9">
        <v>10</v>
      </c>
      <c r="L182" s="9" t="s">
        <v>196</v>
      </c>
      <c r="M182" s="9" t="s">
        <v>199</v>
      </c>
      <c r="N182" s="12"/>
    </row>
    <row r="183" spans="1:14" hidden="1" x14ac:dyDescent="0.25">
      <c r="A183" s="9" t="s">
        <v>35</v>
      </c>
      <c r="B183" s="16" t="s">
        <v>33</v>
      </c>
      <c r="C183" s="18" t="s">
        <v>34</v>
      </c>
      <c r="D183" s="19"/>
      <c r="E183" s="20"/>
      <c r="F183" s="9"/>
      <c r="G183" s="9"/>
      <c r="H183" s="9"/>
      <c r="I183" s="9"/>
      <c r="J183" s="13">
        <v>45105</v>
      </c>
      <c r="K183" s="9">
        <v>64</v>
      </c>
      <c r="L183" s="9" t="s">
        <v>196</v>
      </c>
      <c r="M183" s="9" t="s">
        <v>206</v>
      </c>
      <c r="N183" s="9" t="s">
        <v>197</v>
      </c>
    </row>
    <row r="184" spans="1:14" hidden="1" x14ac:dyDescent="0.25">
      <c r="A184" s="7" t="s">
        <v>13</v>
      </c>
      <c r="B184" s="8" t="s">
        <v>14</v>
      </c>
      <c r="C184" s="18" t="s">
        <v>15</v>
      </c>
      <c r="D184" s="19" t="s">
        <v>16</v>
      </c>
      <c r="E184" s="30"/>
      <c r="F184" s="7"/>
      <c r="G184" s="7"/>
      <c r="H184" s="7"/>
      <c r="I184" s="7"/>
      <c r="J184" s="11">
        <v>45105</v>
      </c>
      <c r="K184" s="7">
        <v>32</v>
      </c>
      <c r="L184" s="7" t="s">
        <v>196</v>
      </c>
      <c r="M184" s="9" t="s">
        <v>206</v>
      </c>
      <c r="N184" s="7" t="s">
        <v>197</v>
      </c>
    </row>
    <row r="185" spans="1:14" hidden="1" x14ac:dyDescent="0.25">
      <c r="A185" s="9">
        <v>42</v>
      </c>
      <c r="B185" s="8" t="s">
        <v>17</v>
      </c>
      <c r="C185" s="18" t="s">
        <v>18</v>
      </c>
      <c r="D185" s="19" t="s">
        <v>16</v>
      </c>
      <c r="E185" s="30"/>
      <c r="F185" s="7"/>
      <c r="G185" s="7"/>
      <c r="H185" s="7"/>
      <c r="I185" s="7"/>
      <c r="J185" s="11">
        <v>45105</v>
      </c>
      <c r="K185" s="7">
        <v>32</v>
      </c>
      <c r="L185" s="7" t="s">
        <v>196</v>
      </c>
      <c r="M185" s="9" t="s">
        <v>206</v>
      </c>
      <c r="N185" s="7" t="s">
        <v>197</v>
      </c>
    </row>
    <row r="186" spans="1:14" hidden="1" x14ac:dyDescent="0.25">
      <c r="A186" s="9" t="s">
        <v>22</v>
      </c>
      <c r="B186" s="12" t="s">
        <v>20</v>
      </c>
      <c r="C186" s="18" t="s">
        <v>21</v>
      </c>
      <c r="D186" s="19" t="s">
        <v>16</v>
      </c>
      <c r="E186" s="20"/>
      <c r="F186" s="9"/>
      <c r="G186" s="9"/>
      <c r="H186" s="9"/>
      <c r="I186" s="9"/>
      <c r="J186" s="13">
        <v>45105</v>
      </c>
      <c r="K186" s="9">
        <v>32</v>
      </c>
      <c r="L186" s="9" t="s">
        <v>196</v>
      </c>
      <c r="M186" s="9" t="s">
        <v>206</v>
      </c>
      <c r="N186" s="9" t="s">
        <v>197</v>
      </c>
    </row>
    <row r="187" spans="1:14" hidden="1" x14ac:dyDescent="0.25">
      <c r="A187" s="9" t="s">
        <v>23</v>
      </c>
      <c r="B187" s="12" t="s">
        <v>24</v>
      </c>
      <c r="C187" s="18" t="s">
        <v>25</v>
      </c>
      <c r="D187" s="19" t="s">
        <v>16</v>
      </c>
      <c r="E187" s="20"/>
      <c r="F187" s="9"/>
      <c r="G187" s="9"/>
      <c r="H187" s="9"/>
      <c r="I187" s="9"/>
      <c r="J187" s="13">
        <v>45105</v>
      </c>
      <c r="K187" s="9">
        <v>32</v>
      </c>
      <c r="L187" s="9" t="s">
        <v>196</v>
      </c>
      <c r="M187" s="9" t="s">
        <v>206</v>
      </c>
      <c r="N187" s="9" t="s">
        <v>197</v>
      </c>
    </row>
    <row r="188" spans="1:14" x14ac:dyDescent="0.25">
      <c r="A188" s="9" t="s">
        <v>40</v>
      </c>
      <c r="B188" s="12" t="s">
        <v>37</v>
      </c>
      <c r="C188" s="18" t="s">
        <v>38</v>
      </c>
      <c r="D188" s="19" t="s">
        <v>16</v>
      </c>
      <c r="E188" s="20"/>
      <c r="F188" s="9"/>
      <c r="G188" s="9"/>
      <c r="H188" s="9"/>
      <c r="I188" s="9"/>
      <c r="J188" s="13">
        <v>45140</v>
      </c>
      <c r="K188" s="9">
        <v>152</v>
      </c>
      <c r="L188" s="9" t="s">
        <v>196</v>
      </c>
      <c r="M188" s="9" t="s">
        <v>206</v>
      </c>
      <c r="N188" s="9" t="s">
        <v>197</v>
      </c>
    </row>
    <row r="189" spans="1:14" hidden="1" x14ac:dyDescent="0.25">
      <c r="A189" s="9" t="s">
        <v>35</v>
      </c>
      <c r="B189" s="16" t="s">
        <v>33</v>
      </c>
      <c r="C189" s="18" t="s">
        <v>34</v>
      </c>
      <c r="D189" s="19"/>
      <c r="E189" s="20"/>
      <c r="F189" s="9"/>
      <c r="G189" s="9"/>
      <c r="H189" s="9"/>
      <c r="I189" s="9"/>
      <c r="J189" s="13">
        <v>45140</v>
      </c>
      <c r="K189" s="9">
        <v>64</v>
      </c>
      <c r="L189" s="9" t="s">
        <v>196</v>
      </c>
      <c r="M189" s="9" t="s">
        <v>206</v>
      </c>
      <c r="N189" s="9" t="s">
        <v>197</v>
      </c>
    </row>
    <row r="190" spans="1:14" hidden="1" x14ac:dyDescent="0.25">
      <c r="A190" s="7" t="s">
        <v>13</v>
      </c>
      <c r="B190" s="8" t="s">
        <v>14</v>
      </c>
      <c r="C190" s="18" t="s">
        <v>15</v>
      </c>
      <c r="D190" s="19" t="s">
        <v>16</v>
      </c>
      <c r="E190" s="30"/>
      <c r="F190" s="7"/>
      <c r="G190" s="7"/>
      <c r="H190" s="7"/>
      <c r="I190" s="7"/>
      <c r="J190" s="11">
        <v>45140</v>
      </c>
      <c r="K190" s="7">
        <v>3</v>
      </c>
      <c r="L190" s="7" t="s">
        <v>196</v>
      </c>
      <c r="M190" s="9" t="s">
        <v>206</v>
      </c>
      <c r="N190" s="7" t="s">
        <v>197</v>
      </c>
    </row>
    <row r="191" spans="1:14" hidden="1" x14ac:dyDescent="0.25">
      <c r="A191" s="7">
        <v>55</v>
      </c>
      <c r="B191" s="8" t="s">
        <v>14</v>
      </c>
      <c r="C191" s="18" t="s">
        <v>86</v>
      </c>
      <c r="D191" s="19" t="s">
        <v>16</v>
      </c>
      <c r="E191" s="30"/>
      <c r="F191" s="7"/>
      <c r="G191" s="7"/>
      <c r="H191" s="7"/>
      <c r="I191" s="9"/>
      <c r="J191" s="11">
        <v>45140</v>
      </c>
      <c r="K191" s="7">
        <v>29</v>
      </c>
      <c r="L191" s="7" t="s">
        <v>196</v>
      </c>
      <c r="M191" s="9" t="s">
        <v>206</v>
      </c>
      <c r="N191" s="7" t="s">
        <v>197</v>
      </c>
    </row>
    <row r="192" spans="1:14" hidden="1" x14ac:dyDescent="0.25">
      <c r="A192" s="9">
        <v>42</v>
      </c>
      <c r="B192" s="8" t="s">
        <v>17</v>
      </c>
      <c r="C192" s="18" t="s">
        <v>18</v>
      </c>
      <c r="D192" s="19" t="s">
        <v>16</v>
      </c>
      <c r="E192" s="30"/>
      <c r="F192" s="7"/>
      <c r="G192" s="7"/>
      <c r="H192" s="7"/>
      <c r="I192" s="7"/>
      <c r="J192" s="11">
        <v>45140</v>
      </c>
      <c r="K192" s="7">
        <v>32</v>
      </c>
      <c r="L192" s="7" t="s">
        <v>196</v>
      </c>
      <c r="M192" s="9" t="s">
        <v>206</v>
      </c>
      <c r="N192" s="7" t="s">
        <v>197</v>
      </c>
    </row>
    <row r="193" spans="1:14" hidden="1" x14ac:dyDescent="0.25">
      <c r="A193" s="9" t="s">
        <v>22</v>
      </c>
      <c r="B193" s="12" t="s">
        <v>20</v>
      </c>
      <c r="C193" s="18" t="s">
        <v>21</v>
      </c>
      <c r="D193" s="19" t="s">
        <v>16</v>
      </c>
      <c r="E193" s="20"/>
      <c r="F193" s="9"/>
      <c r="G193" s="9"/>
      <c r="H193" s="9"/>
      <c r="I193" s="9"/>
      <c r="J193" s="13">
        <v>45140</v>
      </c>
      <c r="K193" s="9">
        <v>32</v>
      </c>
      <c r="L193" s="9" t="s">
        <v>196</v>
      </c>
      <c r="M193" s="9" t="s">
        <v>206</v>
      </c>
      <c r="N193" s="9" t="s">
        <v>197</v>
      </c>
    </row>
    <row r="194" spans="1:14" hidden="1" x14ac:dyDescent="0.25">
      <c r="A194" s="9" t="s">
        <v>23</v>
      </c>
      <c r="B194" s="12" t="s">
        <v>24</v>
      </c>
      <c r="C194" s="18" t="s">
        <v>25</v>
      </c>
      <c r="D194" s="19" t="s">
        <v>16</v>
      </c>
      <c r="E194" s="20"/>
      <c r="F194" s="9"/>
      <c r="G194" s="9"/>
      <c r="H194" s="9"/>
      <c r="I194" s="9"/>
      <c r="J194" s="13">
        <v>45140</v>
      </c>
      <c r="K194" s="9">
        <v>32</v>
      </c>
      <c r="L194" s="9" t="s">
        <v>196</v>
      </c>
      <c r="M194" s="9" t="s">
        <v>206</v>
      </c>
      <c r="N194" s="9" t="s">
        <v>197</v>
      </c>
    </row>
    <row r="195" spans="1:14" hidden="1" x14ac:dyDescent="0.25">
      <c r="A195" s="9">
        <v>85</v>
      </c>
      <c r="B195" s="12" t="s">
        <v>46</v>
      </c>
      <c r="C195" s="18" t="s">
        <v>78</v>
      </c>
      <c r="D195" s="19" t="s">
        <v>16</v>
      </c>
      <c r="E195" s="25"/>
      <c r="F195" s="22"/>
      <c r="G195" s="22"/>
      <c r="H195" s="22"/>
      <c r="I195" s="9"/>
      <c r="J195" s="23">
        <v>45145</v>
      </c>
      <c r="K195" s="22">
        <v>1</v>
      </c>
      <c r="L195" s="9" t="s">
        <v>196</v>
      </c>
      <c r="M195" s="22" t="s">
        <v>200</v>
      </c>
      <c r="N195" s="29"/>
    </row>
    <row r="196" spans="1:14" hidden="1" x14ac:dyDescent="0.25">
      <c r="A196" s="9">
        <v>83</v>
      </c>
      <c r="B196" s="12" t="s">
        <v>82</v>
      </c>
      <c r="C196" s="18" t="s">
        <v>83</v>
      </c>
      <c r="D196" s="19" t="s">
        <v>16</v>
      </c>
      <c r="E196" s="25"/>
      <c r="F196" s="22"/>
      <c r="G196" s="22"/>
      <c r="H196" s="22"/>
      <c r="I196" s="9"/>
      <c r="J196" s="23">
        <v>45145</v>
      </c>
      <c r="K196" s="22">
        <v>1</v>
      </c>
      <c r="L196" s="9" t="s">
        <v>196</v>
      </c>
      <c r="M196" s="22" t="s">
        <v>200</v>
      </c>
      <c r="N196" s="29"/>
    </row>
    <row r="197" spans="1:14" hidden="1" x14ac:dyDescent="0.25">
      <c r="A197" s="22">
        <v>71</v>
      </c>
      <c r="B197" s="12" t="s">
        <v>68</v>
      </c>
      <c r="C197" s="18" t="s">
        <v>69</v>
      </c>
      <c r="D197" s="19" t="s">
        <v>16</v>
      </c>
      <c r="E197" s="25"/>
      <c r="F197" s="22"/>
      <c r="G197" s="22"/>
      <c r="H197" s="22"/>
      <c r="I197" s="9"/>
      <c r="J197" s="23">
        <v>45145</v>
      </c>
      <c r="K197" s="22">
        <v>1</v>
      </c>
      <c r="L197" s="9" t="s">
        <v>196</v>
      </c>
      <c r="M197" s="22" t="s">
        <v>200</v>
      </c>
      <c r="N197" s="24"/>
    </row>
    <row r="198" spans="1:14" ht="34.5" hidden="1" customHeight="1" x14ac:dyDescent="0.25">
      <c r="A198" s="9">
        <v>94</v>
      </c>
      <c r="B198" s="31" t="s">
        <v>95</v>
      </c>
      <c r="C198" s="68" t="s">
        <v>96</v>
      </c>
      <c r="D198" s="69" t="s">
        <v>16</v>
      </c>
      <c r="E198" s="20"/>
      <c r="F198" s="9"/>
      <c r="G198" s="9"/>
      <c r="H198" s="9"/>
      <c r="I198" s="9"/>
      <c r="J198" s="23">
        <v>45194</v>
      </c>
      <c r="K198" s="22">
        <v>1</v>
      </c>
      <c r="L198" s="9" t="s">
        <v>201</v>
      </c>
      <c r="M198" s="9" t="s">
        <v>202</v>
      </c>
      <c r="N198" s="12"/>
    </row>
    <row r="199" spans="1:14" ht="34.5" hidden="1" customHeight="1" x14ac:dyDescent="0.25">
      <c r="A199" s="22">
        <v>124</v>
      </c>
      <c r="B199" s="12" t="s">
        <v>117</v>
      </c>
      <c r="C199" s="18" t="s">
        <v>118</v>
      </c>
      <c r="D199" s="69" t="s">
        <v>16</v>
      </c>
      <c r="E199" s="20"/>
      <c r="F199" s="9"/>
      <c r="G199" s="31"/>
      <c r="H199" s="31"/>
      <c r="I199" s="9"/>
      <c r="J199" s="23">
        <v>45194</v>
      </c>
      <c r="K199" s="22">
        <v>2</v>
      </c>
      <c r="L199" s="9" t="s">
        <v>201</v>
      </c>
      <c r="M199" s="9" t="s">
        <v>201</v>
      </c>
      <c r="N199" s="12" t="s">
        <v>119</v>
      </c>
    </row>
    <row r="200" spans="1:14" ht="34.5" hidden="1" customHeight="1" x14ac:dyDescent="0.25">
      <c r="A200" s="9">
        <v>125</v>
      </c>
      <c r="B200" s="12" t="s">
        <v>120</v>
      </c>
      <c r="C200" s="9" t="s">
        <v>121</v>
      </c>
      <c r="D200" s="19" t="s">
        <v>16</v>
      </c>
      <c r="E200" s="13"/>
      <c r="F200" s="9"/>
      <c r="G200" s="31"/>
      <c r="H200" s="31"/>
      <c r="I200" s="9"/>
      <c r="J200" s="23">
        <v>45194</v>
      </c>
      <c r="K200" s="22">
        <v>1</v>
      </c>
      <c r="L200" s="9" t="s">
        <v>201</v>
      </c>
      <c r="M200" s="9" t="s">
        <v>201</v>
      </c>
      <c r="N200" s="12" t="s">
        <v>119</v>
      </c>
    </row>
    <row r="201" spans="1:14" hidden="1" x14ac:dyDescent="0.25">
      <c r="A201" s="9">
        <v>51</v>
      </c>
      <c r="B201" s="12" t="s">
        <v>48</v>
      </c>
      <c r="C201" s="18" t="s">
        <v>49</v>
      </c>
      <c r="D201" s="19" t="s">
        <v>16</v>
      </c>
      <c r="E201" s="20"/>
      <c r="F201" s="9"/>
      <c r="G201" s="9"/>
      <c r="H201" s="9"/>
      <c r="I201" s="9"/>
      <c r="J201" s="13">
        <v>45209</v>
      </c>
      <c r="K201" s="9">
        <v>5</v>
      </c>
      <c r="L201" s="9" t="s">
        <v>203</v>
      </c>
      <c r="M201" s="9" t="s">
        <v>199</v>
      </c>
      <c r="N201" s="12"/>
    </row>
    <row r="202" spans="1:14" hidden="1" x14ac:dyDescent="0.25">
      <c r="A202" s="9" t="s">
        <v>35</v>
      </c>
      <c r="B202" s="16" t="s">
        <v>33</v>
      </c>
      <c r="C202" s="18" t="s">
        <v>36</v>
      </c>
      <c r="D202" s="19"/>
      <c r="E202" s="20"/>
      <c r="F202" s="9"/>
      <c r="G202" s="9"/>
      <c r="H202" s="9"/>
      <c r="I202" s="9"/>
      <c r="J202" s="13">
        <v>45208</v>
      </c>
      <c r="K202" s="9">
        <v>1</v>
      </c>
      <c r="L202" s="9" t="s">
        <v>203</v>
      </c>
      <c r="M202" s="9" t="s">
        <v>199</v>
      </c>
      <c r="N202" s="12"/>
    </row>
    <row r="203" spans="1:14" hidden="1" x14ac:dyDescent="0.25">
      <c r="A203" s="9">
        <v>98</v>
      </c>
      <c r="B203" s="8" t="s">
        <v>97</v>
      </c>
      <c r="C203" s="18" t="s">
        <v>98</v>
      </c>
      <c r="D203" s="19" t="s">
        <v>16</v>
      </c>
      <c r="E203" s="20"/>
      <c r="F203" s="9"/>
      <c r="G203" s="9"/>
      <c r="H203" s="9"/>
      <c r="I203" s="9"/>
      <c r="J203" s="13">
        <v>45209</v>
      </c>
      <c r="K203" s="9">
        <v>5</v>
      </c>
      <c r="L203" s="9" t="s">
        <v>203</v>
      </c>
      <c r="M203" s="9" t="s">
        <v>199</v>
      </c>
      <c r="N203" s="12"/>
    </row>
    <row r="204" spans="1:14" hidden="1" x14ac:dyDescent="0.25">
      <c r="A204" s="9">
        <v>74</v>
      </c>
      <c r="B204" s="12" t="s">
        <v>105</v>
      </c>
      <c r="C204" s="18" t="s">
        <v>106</v>
      </c>
      <c r="D204" s="19" t="s">
        <v>104</v>
      </c>
      <c r="E204" s="20"/>
      <c r="F204" s="9"/>
      <c r="G204" s="31"/>
      <c r="H204" s="31"/>
      <c r="I204" s="9"/>
      <c r="J204" s="13">
        <v>45209</v>
      </c>
      <c r="K204" s="9">
        <v>1</v>
      </c>
      <c r="L204" s="9" t="s">
        <v>726</v>
      </c>
      <c r="M204" s="9" t="s">
        <v>199</v>
      </c>
      <c r="N204" s="12"/>
    </row>
    <row r="205" spans="1:14" hidden="1" x14ac:dyDescent="0.25">
      <c r="A205" s="9">
        <v>109</v>
      </c>
      <c r="B205" s="12" t="s">
        <v>105</v>
      </c>
      <c r="C205" s="18" t="s">
        <v>114</v>
      </c>
      <c r="D205" s="19" t="s">
        <v>113</v>
      </c>
      <c r="E205" s="20"/>
      <c r="F205" s="9"/>
      <c r="G205" s="31"/>
      <c r="H205" s="31"/>
      <c r="I205" s="9"/>
      <c r="J205" s="13">
        <v>45209</v>
      </c>
      <c r="K205" s="9">
        <v>1</v>
      </c>
      <c r="L205" s="9" t="s">
        <v>726</v>
      </c>
      <c r="M205" s="9" t="s">
        <v>199</v>
      </c>
      <c r="N205" s="12"/>
    </row>
    <row r="206" spans="1:14" ht="32.25" hidden="1" customHeight="1" x14ac:dyDescent="0.25">
      <c r="A206" s="9">
        <v>94</v>
      </c>
      <c r="B206" s="31" t="s">
        <v>95</v>
      </c>
      <c r="C206" s="68" t="s">
        <v>96</v>
      </c>
      <c r="D206" s="69" t="s">
        <v>16</v>
      </c>
      <c r="E206" s="20"/>
      <c r="F206" s="9"/>
      <c r="G206" s="9"/>
      <c r="H206" s="9"/>
      <c r="I206" s="9"/>
      <c r="J206" s="23">
        <v>45210</v>
      </c>
      <c r="K206" s="22">
        <v>4</v>
      </c>
      <c r="L206" s="9" t="s">
        <v>201</v>
      </c>
      <c r="M206" s="9" t="s">
        <v>202</v>
      </c>
      <c r="N206" s="12"/>
    </row>
    <row r="207" spans="1:14" hidden="1" x14ac:dyDescent="0.25">
      <c r="A207" s="9">
        <v>73</v>
      </c>
      <c r="B207" s="12" t="s">
        <v>102</v>
      </c>
      <c r="C207" s="9" t="s">
        <v>103</v>
      </c>
      <c r="D207" s="67" t="s">
        <v>104</v>
      </c>
      <c r="E207" s="13"/>
      <c r="F207" s="9"/>
      <c r="G207" s="31"/>
      <c r="H207" s="31"/>
      <c r="I207" s="9"/>
      <c r="J207" s="23">
        <v>45210</v>
      </c>
      <c r="K207" s="22">
        <v>5</v>
      </c>
      <c r="L207" s="9" t="s">
        <v>201</v>
      </c>
      <c r="M207" s="9" t="s">
        <v>202</v>
      </c>
      <c r="N207" s="12"/>
    </row>
    <row r="208" spans="1:14" hidden="1" x14ac:dyDescent="0.25">
      <c r="A208" s="9">
        <v>101</v>
      </c>
      <c r="B208" s="12" t="s">
        <v>101</v>
      </c>
      <c r="C208" s="18" t="s">
        <v>78</v>
      </c>
      <c r="D208" s="19" t="s">
        <v>16</v>
      </c>
      <c r="E208" s="20"/>
      <c r="F208" s="9"/>
      <c r="G208" s="31"/>
      <c r="H208" s="31"/>
      <c r="I208" s="9"/>
      <c r="J208" s="13">
        <v>45232</v>
      </c>
      <c r="K208" s="9">
        <v>8</v>
      </c>
      <c r="L208" s="9" t="s">
        <v>196</v>
      </c>
      <c r="M208" s="9" t="s">
        <v>199</v>
      </c>
      <c r="N208" s="12"/>
    </row>
    <row r="209" spans="1:14" hidden="1" x14ac:dyDescent="0.25">
      <c r="A209" s="9">
        <v>69</v>
      </c>
      <c r="B209" s="12" t="s">
        <v>87</v>
      </c>
      <c r="C209" s="18" t="s">
        <v>88</v>
      </c>
      <c r="D209" s="19" t="s">
        <v>16</v>
      </c>
      <c r="E209" s="20"/>
      <c r="F209" s="9"/>
      <c r="G209" s="9"/>
      <c r="H209" s="9"/>
      <c r="I209" s="9"/>
      <c r="J209" s="13">
        <v>45232</v>
      </c>
      <c r="K209" s="9">
        <v>10</v>
      </c>
      <c r="L209" s="9" t="s">
        <v>196</v>
      </c>
      <c r="M209" s="9" t="s">
        <v>199</v>
      </c>
      <c r="N209" s="12"/>
    </row>
    <row r="210" spans="1:14" hidden="1" x14ac:dyDescent="0.25">
      <c r="A210" s="41">
        <v>122</v>
      </c>
      <c r="B210" s="42" t="s">
        <v>20</v>
      </c>
      <c r="C210" s="43" t="s">
        <v>129</v>
      </c>
      <c r="D210" s="53" t="s">
        <v>16</v>
      </c>
      <c r="E210" s="72"/>
      <c r="F210" s="32"/>
      <c r="G210" s="32"/>
      <c r="H210" s="36"/>
      <c r="I210" s="32"/>
      <c r="J210" s="73">
        <v>45232</v>
      </c>
      <c r="K210" s="32">
        <v>10</v>
      </c>
      <c r="L210" s="9" t="s">
        <v>196</v>
      </c>
      <c r="M210" s="32" t="s">
        <v>199</v>
      </c>
      <c r="N210" s="42"/>
    </row>
    <row r="211" spans="1:14" hidden="1" x14ac:dyDescent="0.25">
      <c r="A211" s="22">
        <v>142</v>
      </c>
      <c r="B211" s="12" t="s">
        <v>127</v>
      </c>
      <c r="C211" s="9" t="s">
        <v>128</v>
      </c>
      <c r="D211" s="9" t="s">
        <v>16</v>
      </c>
      <c r="E211" s="13"/>
      <c r="F211" s="9"/>
      <c r="G211" s="9"/>
      <c r="H211" s="31"/>
      <c r="I211" s="9"/>
      <c r="J211" s="13">
        <v>45232</v>
      </c>
      <c r="K211" s="9">
        <v>10</v>
      </c>
      <c r="L211" s="9" t="s">
        <v>196</v>
      </c>
      <c r="M211" s="9" t="s">
        <v>199</v>
      </c>
      <c r="N211" s="12"/>
    </row>
    <row r="212" spans="1:14" x14ac:dyDescent="0.25">
      <c r="A212" s="7">
        <v>90</v>
      </c>
      <c r="B212" s="8" t="s">
        <v>37</v>
      </c>
      <c r="C212" s="238" t="s">
        <v>79</v>
      </c>
      <c r="D212" s="70" t="s">
        <v>16</v>
      </c>
      <c r="E212" s="239"/>
      <c r="F212" s="28"/>
      <c r="G212" s="28"/>
      <c r="H212" s="28"/>
      <c r="I212" s="7"/>
      <c r="J212" s="11">
        <v>45232</v>
      </c>
      <c r="K212" s="7">
        <v>10</v>
      </c>
      <c r="L212" s="9" t="s">
        <v>196</v>
      </c>
      <c r="M212" s="7" t="s">
        <v>199</v>
      </c>
      <c r="N212" s="240"/>
    </row>
    <row r="213" spans="1:14" hidden="1" x14ac:dyDescent="0.25">
      <c r="A213" s="22">
        <v>61</v>
      </c>
      <c r="B213" s="12" t="s">
        <v>64</v>
      </c>
      <c r="C213" s="9" t="s">
        <v>65</v>
      </c>
      <c r="D213" s="10" t="s">
        <v>52</v>
      </c>
      <c r="E213" s="23"/>
      <c r="F213" s="22"/>
      <c r="G213" s="22"/>
      <c r="H213" s="22"/>
      <c r="I213" s="9"/>
      <c r="J213" s="13">
        <v>45232</v>
      </c>
      <c r="K213" s="9">
        <v>30</v>
      </c>
      <c r="L213" s="9" t="s">
        <v>196</v>
      </c>
      <c r="M213" s="9" t="s">
        <v>199</v>
      </c>
      <c r="N213" s="22" t="s">
        <v>53</v>
      </c>
    </row>
    <row r="214" spans="1:14" hidden="1" x14ac:dyDescent="0.25">
      <c r="A214" s="22">
        <v>130</v>
      </c>
      <c r="B214" s="12" t="s">
        <v>133</v>
      </c>
      <c r="C214" s="18" t="s">
        <v>134</v>
      </c>
      <c r="D214" s="19" t="s">
        <v>16</v>
      </c>
      <c r="E214" s="20"/>
      <c r="F214" s="9"/>
      <c r="G214" s="9"/>
      <c r="H214" s="31"/>
      <c r="I214" s="9"/>
      <c r="J214" s="13">
        <v>45237</v>
      </c>
      <c r="K214" s="9">
        <v>3</v>
      </c>
      <c r="L214" s="9" t="s">
        <v>196</v>
      </c>
      <c r="M214" s="9" t="s">
        <v>204</v>
      </c>
      <c r="N214" s="12"/>
    </row>
    <row r="215" spans="1:14" hidden="1" x14ac:dyDescent="0.25">
      <c r="A215" s="9">
        <v>54</v>
      </c>
      <c r="B215" s="12" t="s">
        <v>84</v>
      </c>
      <c r="C215" s="18" t="s">
        <v>85</v>
      </c>
      <c r="D215" s="19" t="s">
        <v>16</v>
      </c>
      <c r="E215" s="25"/>
      <c r="F215" s="22"/>
      <c r="G215" s="22"/>
      <c r="H215" s="22"/>
      <c r="J215" s="13">
        <v>45237</v>
      </c>
      <c r="K215" s="9">
        <v>3</v>
      </c>
      <c r="L215" s="9" t="s">
        <v>196</v>
      </c>
      <c r="M215" s="9" t="s">
        <v>204</v>
      </c>
      <c r="N215" s="29"/>
    </row>
    <row r="216" spans="1:14" hidden="1" x14ac:dyDescent="0.25">
      <c r="A216" s="22">
        <v>123</v>
      </c>
      <c r="B216" s="12" t="s">
        <v>24</v>
      </c>
      <c r="C216" s="18" t="s">
        <v>130</v>
      </c>
      <c r="D216" s="19" t="s">
        <v>16</v>
      </c>
      <c r="E216" s="20"/>
      <c r="F216" s="9"/>
      <c r="G216" s="9"/>
      <c r="H216" s="31"/>
      <c r="I216" s="9"/>
      <c r="J216" s="13">
        <v>45245</v>
      </c>
      <c r="K216" s="9">
        <v>10</v>
      </c>
      <c r="L216" s="9" t="s">
        <v>196</v>
      </c>
      <c r="M216" s="9" t="s">
        <v>199</v>
      </c>
      <c r="N216" s="12"/>
    </row>
    <row r="217" spans="1:14" hidden="1" x14ac:dyDescent="0.25">
      <c r="A217" s="22">
        <v>136</v>
      </c>
      <c r="B217" s="12" t="s">
        <v>14</v>
      </c>
      <c r="C217" s="18" t="s">
        <v>122</v>
      </c>
      <c r="D217" s="19" t="s">
        <v>16</v>
      </c>
      <c r="E217" s="20"/>
      <c r="F217" s="9"/>
      <c r="G217" s="9"/>
      <c r="H217" s="31"/>
      <c r="I217" s="9"/>
      <c r="J217" s="13">
        <v>45245</v>
      </c>
      <c r="K217" s="9">
        <v>10</v>
      </c>
      <c r="L217" s="9" t="s">
        <v>196</v>
      </c>
      <c r="M217" s="9" t="s">
        <v>199</v>
      </c>
      <c r="N217" s="12"/>
    </row>
    <row r="218" spans="1:14" hidden="1" x14ac:dyDescent="0.25">
      <c r="A218" s="9">
        <v>83</v>
      </c>
      <c r="B218" s="12" t="s">
        <v>82</v>
      </c>
      <c r="C218" s="18" t="s">
        <v>83</v>
      </c>
      <c r="D218" s="19" t="s">
        <v>16</v>
      </c>
      <c r="E218" s="25"/>
      <c r="F218" s="22"/>
      <c r="G218" s="22"/>
      <c r="H218" s="22"/>
      <c r="I218" s="9"/>
      <c r="J218" s="13">
        <v>45245</v>
      </c>
      <c r="K218" s="9">
        <v>8</v>
      </c>
      <c r="L218" s="9" t="s">
        <v>196</v>
      </c>
      <c r="M218" s="9" t="s">
        <v>199</v>
      </c>
      <c r="N218" s="29"/>
    </row>
    <row r="219" spans="1:14" hidden="1" x14ac:dyDescent="0.25">
      <c r="A219" s="9">
        <v>75</v>
      </c>
      <c r="B219" s="12" t="s">
        <v>107</v>
      </c>
      <c r="C219" s="18" t="s">
        <v>108</v>
      </c>
      <c r="D219" s="19" t="s">
        <v>104</v>
      </c>
      <c r="E219" s="20"/>
      <c r="F219" s="9"/>
      <c r="G219" s="31"/>
      <c r="H219" s="31"/>
      <c r="I219" s="9"/>
      <c r="J219" s="13">
        <v>45253</v>
      </c>
      <c r="K219" s="9">
        <v>5</v>
      </c>
      <c r="L219" s="9" t="s">
        <v>201</v>
      </c>
      <c r="M219" s="9" t="s">
        <v>202</v>
      </c>
      <c r="N219" s="12"/>
    </row>
    <row r="220" spans="1:14" hidden="1" x14ac:dyDescent="0.25">
      <c r="A220" s="9" t="s">
        <v>22</v>
      </c>
      <c r="B220" s="12" t="s">
        <v>20</v>
      </c>
      <c r="C220" s="18" t="s">
        <v>21</v>
      </c>
      <c r="D220" s="70" t="s">
        <v>16</v>
      </c>
      <c r="E220" s="20"/>
      <c r="F220" s="9"/>
      <c r="G220" s="9"/>
      <c r="H220" s="9"/>
      <c r="I220" s="9"/>
      <c r="J220" s="13">
        <v>45257</v>
      </c>
      <c r="K220" s="9">
        <v>72</v>
      </c>
      <c r="L220" s="9" t="s">
        <v>196</v>
      </c>
      <c r="M220" s="9" t="s">
        <v>206</v>
      </c>
      <c r="N220" s="9" t="s">
        <v>197</v>
      </c>
    </row>
    <row r="221" spans="1:14" hidden="1" x14ac:dyDescent="0.25">
      <c r="A221" s="9">
        <v>57</v>
      </c>
      <c r="B221" s="12" t="s">
        <v>20</v>
      </c>
      <c r="C221" s="18" t="s">
        <v>21</v>
      </c>
      <c r="D221" s="19" t="s">
        <v>16</v>
      </c>
      <c r="E221" s="25"/>
      <c r="F221" s="22"/>
      <c r="G221" s="22"/>
      <c r="H221" s="22"/>
      <c r="I221" s="9"/>
      <c r="J221" s="13">
        <v>45257</v>
      </c>
      <c r="K221" s="22">
        <v>14</v>
      </c>
      <c r="L221" s="9" t="s">
        <v>196</v>
      </c>
      <c r="M221" s="9" t="s">
        <v>206</v>
      </c>
      <c r="N221" s="9" t="s">
        <v>197</v>
      </c>
    </row>
    <row r="222" spans="1:14" hidden="1" x14ac:dyDescent="0.25">
      <c r="A222" s="9" t="s">
        <v>23</v>
      </c>
      <c r="B222" s="12" t="s">
        <v>24</v>
      </c>
      <c r="C222" s="18" t="s">
        <v>25</v>
      </c>
      <c r="D222" s="19" t="s">
        <v>16</v>
      </c>
      <c r="E222" s="20"/>
      <c r="F222" s="9"/>
      <c r="G222" s="9"/>
      <c r="H222" s="9"/>
      <c r="I222" s="9"/>
      <c r="J222" s="13">
        <v>45257</v>
      </c>
      <c r="K222" s="9">
        <v>86</v>
      </c>
      <c r="L222" s="9" t="s">
        <v>196</v>
      </c>
      <c r="M222" s="9" t="s">
        <v>206</v>
      </c>
      <c r="N222" s="9" t="s">
        <v>197</v>
      </c>
    </row>
    <row r="223" spans="1:14" hidden="1" x14ac:dyDescent="0.25">
      <c r="A223" s="7">
        <v>55</v>
      </c>
      <c r="B223" s="8" t="s">
        <v>14</v>
      </c>
      <c r="C223" s="18" t="s">
        <v>86</v>
      </c>
      <c r="D223" s="19" t="s">
        <v>16</v>
      </c>
      <c r="E223" s="30"/>
      <c r="F223" s="7"/>
      <c r="G223" s="7"/>
      <c r="H223" s="7"/>
      <c r="I223" s="9"/>
      <c r="J223" s="11">
        <v>45257</v>
      </c>
      <c r="K223" s="7">
        <v>86</v>
      </c>
      <c r="L223" s="7" t="s">
        <v>196</v>
      </c>
      <c r="M223" s="9" t="s">
        <v>206</v>
      </c>
      <c r="N223" s="7" t="s">
        <v>197</v>
      </c>
    </row>
    <row r="224" spans="1:14" hidden="1" x14ac:dyDescent="0.25">
      <c r="A224" s="9">
        <v>42</v>
      </c>
      <c r="B224" s="8" t="s">
        <v>17</v>
      </c>
      <c r="C224" s="18" t="s">
        <v>18</v>
      </c>
      <c r="D224" s="19" t="s">
        <v>16</v>
      </c>
      <c r="E224" s="30"/>
      <c r="F224" s="7"/>
      <c r="G224" s="7"/>
      <c r="H224" s="7"/>
      <c r="I224" s="7"/>
      <c r="J224" s="11">
        <v>45257</v>
      </c>
      <c r="K224" s="7">
        <v>86</v>
      </c>
      <c r="L224" s="7" t="s">
        <v>196</v>
      </c>
      <c r="M224" s="9" t="s">
        <v>206</v>
      </c>
      <c r="N224" s="7" t="s">
        <v>197</v>
      </c>
    </row>
    <row r="225" spans="1:14" x14ac:dyDescent="0.25">
      <c r="A225" s="9">
        <v>59</v>
      </c>
      <c r="B225" s="12" t="s">
        <v>37</v>
      </c>
      <c r="C225" s="18" t="s">
        <v>38</v>
      </c>
      <c r="D225" s="19" t="s">
        <v>16</v>
      </c>
      <c r="E225" s="20"/>
      <c r="F225" s="9"/>
      <c r="G225" s="9"/>
      <c r="H225" s="9"/>
      <c r="I225" s="9"/>
      <c r="J225" s="13">
        <v>45257</v>
      </c>
      <c r="K225" s="9">
        <v>430</v>
      </c>
      <c r="L225" s="9" t="s">
        <v>196</v>
      </c>
      <c r="M225" s="9" t="s">
        <v>206</v>
      </c>
      <c r="N225" s="9" t="s">
        <v>197</v>
      </c>
    </row>
    <row r="226" spans="1:14" hidden="1" x14ac:dyDescent="0.25">
      <c r="A226" s="9" t="s">
        <v>35</v>
      </c>
      <c r="B226" s="16" t="s">
        <v>33</v>
      </c>
      <c r="C226" s="18" t="s">
        <v>34</v>
      </c>
      <c r="D226" s="19"/>
      <c r="E226" s="20"/>
      <c r="F226" s="9"/>
      <c r="G226" s="9"/>
      <c r="H226" s="9"/>
      <c r="I226" s="9"/>
      <c r="J226" s="13">
        <v>45257</v>
      </c>
      <c r="K226" s="9">
        <v>61</v>
      </c>
      <c r="L226" s="9" t="s">
        <v>196</v>
      </c>
      <c r="M226" s="9" t="s">
        <v>206</v>
      </c>
      <c r="N226" s="9" t="s">
        <v>197</v>
      </c>
    </row>
    <row r="227" spans="1:14" hidden="1" x14ac:dyDescent="0.25">
      <c r="A227" s="15" t="s">
        <v>32</v>
      </c>
      <c r="B227" s="16" t="s">
        <v>33</v>
      </c>
      <c r="C227" s="40" t="s">
        <v>34</v>
      </c>
      <c r="D227" s="19" t="s">
        <v>16</v>
      </c>
      <c r="E227" s="71"/>
      <c r="F227" s="15"/>
      <c r="G227" s="9"/>
      <c r="H227" s="9"/>
      <c r="I227" s="9"/>
      <c r="J227" s="13">
        <v>45257</v>
      </c>
      <c r="K227" s="9">
        <v>111</v>
      </c>
      <c r="L227" s="9" t="s">
        <v>196</v>
      </c>
      <c r="M227" s="9" t="s">
        <v>206</v>
      </c>
      <c r="N227" s="9" t="s">
        <v>197</v>
      </c>
    </row>
    <row r="228" spans="1:14" ht="20.100000000000001" hidden="1" customHeight="1" x14ac:dyDescent="0.25">
      <c r="A228" s="9">
        <v>51</v>
      </c>
      <c r="B228" s="12" t="s">
        <v>48</v>
      </c>
      <c r="C228" s="18" t="s">
        <v>49</v>
      </c>
      <c r="D228" s="70" t="s">
        <v>16</v>
      </c>
      <c r="E228" s="20"/>
      <c r="F228" s="9"/>
      <c r="G228" s="9"/>
      <c r="H228" s="9"/>
      <c r="I228" s="9"/>
      <c r="J228" s="13">
        <v>45273</v>
      </c>
      <c r="K228" s="9">
        <v>10</v>
      </c>
      <c r="L228" s="9" t="s">
        <v>209</v>
      </c>
      <c r="M228" s="9" t="s">
        <v>199</v>
      </c>
      <c r="N228" s="12"/>
    </row>
    <row r="229" spans="1:14" ht="18" hidden="1" customHeight="1" x14ac:dyDescent="0.25">
      <c r="A229" s="22">
        <v>141</v>
      </c>
      <c r="B229" s="12" t="s">
        <v>142</v>
      </c>
      <c r="C229" s="18" t="s">
        <v>143</v>
      </c>
      <c r="D229" s="19" t="s">
        <v>16</v>
      </c>
      <c r="E229" s="20"/>
      <c r="F229" s="9"/>
      <c r="G229" s="9"/>
      <c r="H229" s="31"/>
      <c r="I229" s="9"/>
      <c r="J229" s="13">
        <v>45273</v>
      </c>
      <c r="K229" s="9">
        <v>10</v>
      </c>
      <c r="L229" s="9" t="s">
        <v>209</v>
      </c>
      <c r="M229" s="9" t="s">
        <v>199</v>
      </c>
      <c r="N229" s="12"/>
    </row>
    <row r="230" spans="1:14" ht="20.100000000000001" hidden="1" customHeight="1" x14ac:dyDescent="0.25">
      <c r="A230" s="9">
        <v>45</v>
      </c>
      <c r="B230" s="12" t="s">
        <v>26</v>
      </c>
      <c r="C230" s="18" t="s">
        <v>27</v>
      </c>
      <c r="D230" s="19" t="s">
        <v>28</v>
      </c>
      <c r="E230" s="20"/>
      <c r="F230" s="9"/>
      <c r="G230" s="9"/>
      <c r="H230" s="9"/>
      <c r="I230" s="9"/>
      <c r="J230" s="13">
        <v>45273</v>
      </c>
      <c r="K230" s="9">
        <v>10</v>
      </c>
      <c r="L230" s="9" t="s">
        <v>209</v>
      </c>
      <c r="M230" s="9" t="s">
        <v>199</v>
      </c>
      <c r="N230" s="12"/>
    </row>
    <row r="231" spans="1:14" ht="20.100000000000001" hidden="1" customHeight="1" x14ac:dyDescent="0.25">
      <c r="A231" s="9">
        <v>54</v>
      </c>
      <c r="B231" s="12" t="s">
        <v>84</v>
      </c>
      <c r="C231" s="18" t="s">
        <v>85</v>
      </c>
      <c r="D231" s="19" t="s">
        <v>16</v>
      </c>
      <c r="E231" s="25"/>
      <c r="F231" s="22"/>
      <c r="G231" s="22"/>
      <c r="H231" s="22"/>
      <c r="I231" s="9"/>
      <c r="J231" s="13">
        <v>45273</v>
      </c>
      <c r="K231" s="9">
        <v>12</v>
      </c>
      <c r="L231" s="9" t="s">
        <v>209</v>
      </c>
      <c r="M231" s="9" t="s">
        <v>199</v>
      </c>
      <c r="N231" s="29"/>
    </row>
    <row r="232" spans="1:14" ht="20.100000000000001" hidden="1" customHeight="1" x14ac:dyDescent="0.25">
      <c r="A232" s="9">
        <v>101</v>
      </c>
      <c r="B232" s="12" t="s">
        <v>101</v>
      </c>
      <c r="C232" s="18" t="s">
        <v>78</v>
      </c>
      <c r="D232" s="19" t="s">
        <v>16</v>
      </c>
      <c r="E232" s="20"/>
      <c r="F232" s="9"/>
      <c r="G232" s="31"/>
      <c r="H232" s="31"/>
      <c r="I232" s="9"/>
      <c r="J232" s="13">
        <v>45275</v>
      </c>
      <c r="K232" s="9">
        <v>55</v>
      </c>
      <c r="L232" s="9" t="s">
        <v>205</v>
      </c>
      <c r="M232" s="9" t="s">
        <v>206</v>
      </c>
      <c r="N232" s="9" t="s">
        <v>207</v>
      </c>
    </row>
    <row r="233" spans="1:14" ht="20.100000000000001" hidden="1" customHeight="1" x14ac:dyDescent="0.25">
      <c r="A233" s="9">
        <v>102</v>
      </c>
      <c r="B233" s="12" t="s">
        <v>101</v>
      </c>
      <c r="C233" s="18" t="s">
        <v>78</v>
      </c>
      <c r="D233" s="19" t="s">
        <v>16</v>
      </c>
      <c r="E233" s="20"/>
      <c r="F233" s="9"/>
      <c r="G233" s="31"/>
      <c r="H233" s="31"/>
      <c r="I233" s="9"/>
      <c r="J233" s="13">
        <v>45275</v>
      </c>
      <c r="K233" s="9">
        <v>96</v>
      </c>
      <c r="L233" s="9" t="s">
        <v>205</v>
      </c>
      <c r="M233" s="9" t="s">
        <v>206</v>
      </c>
      <c r="N233" s="9" t="s">
        <v>207</v>
      </c>
    </row>
    <row r="234" spans="1:14" ht="20.100000000000001" hidden="1" customHeight="1" x14ac:dyDescent="0.25">
      <c r="A234" s="9">
        <v>105</v>
      </c>
      <c r="B234" s="12" t="s">
        <v>101</v>
      </c>
      <c r="C234" s="18" t="s">
        <v>78</v>
      </c>
      <c r="D234" s="19" t="s">
        <v>16</v>
      </c>
      <c r="E234" s="20"/>
      <c r="F234" s="9"/>
      <c r="G234" s="31"/>
      <c r="H234" s="31"/>
      <c r="I234" s="9"/>
      <c r="J234" s="13">
        <v>45275</v>
      </c>
      <c r="K234" s="9">
        <v>19</v>
      </c>
      <c r="L234" s="9" t="s">
        <v>205</v>
      </c>
      <c r="M234" s="9" t="s">
        <v>206</v>
      </c>
      <c r="N234" s="9" t="s">
        <v>207</v>
      </c>
    </row>
    <row r="235" spans="1:14" ht="20.100000000000001" hidden="1" customHeight="1" x14ac:dyDescent="0.25">
      <c r="A235" s="9">
        <v>98</v>
      </c>
      <c r="B235" s="12" t="s">
        <v>97</v>
      </c>
      <c r="C235" s="18" t="s">
        <v>98</v>
      </c>
      <c r="D235" s="19" t="s">
        <v>16</v>
      </c>
      <c r="E235" s="20"/>
      <c r="F235" s="9"/>
      <c r="G235" s="9"/>
      <c r="H235" s="9"/>
      <c r="I235" s="9"/>
      <c r="J235" s="13">
        <v>45209</v>
      </c>
      <c r="K235" s="9">
        <v>1</v>
      </c>
      <c r="L235" s="9" t="s">
        <v>205</v>
      </c>
      <c r="M235" s="9" t="s">
        <v>208</v>
      </c>
      <c r="N235" s="12"/>
    </row>
    <row r="236" spans="1:14" ht="20.100000000000001" hidden="1" customHeight="1" x14ac:dyDescent="0.25">
      <c r="A236" s="22">
        <v>61</v>
      </c>
      <c r="B236" s="12" t="s">
        <v>64</v>
      </c>
      <c r="C236" s="18" t="s">
        <v>65</v>
      </c>
      <c r="D236" s="19" t="s">
        <v>52</v>
      </c>
      <c r="E236" s="25"/>
      <c r="F236" s="22"/>
      <c r="G236" s="22"/>
      <c r="H236" s="22"/>
      <c r="I236" s="9"/>
      <c r="J236" s="13">
        <v>45281</v>
      </c>
      <c r="K236" s="9">
        <v>3</v>
      </c>
      <c r="L236" s="9" t="s">
        <v>209</v>
      </c>
      <c r="M236" s="9" t="s">
        <v>199</v>
      </c>
      <c r="N236" s="22" t="s">
        <v>53</v>
      </c>
    </row>
    <row r="237" spans="1:14" ht="20.100000000000001" hidden="1" customHeight="1" x14ac:dyDescent="0.25">
      <c r="A237" s="9">
        <v>98</v>
      </c>
      <c r="B237" s="12" t="s">
        <v>97</v>
      </c>
      <c r="C237" s="18" t="s">
        <v>98</v>
      </c>
      <c r="D237" s="19" t="s">
        <v>16</v>
      </c>
      <c r="E237" s="20"/>
      <c r="F237" s="9"/>
      <c r="G237" s="9"/>
      <c r="H237" s="9"/>
      <c r="I237" s="9"/>
      <c r="J237" s="13">
        <v>45209</v>
      </c>
      <c r="K237" s="9">
        <v>15</v>
      </c>
      <c r="L237" s="9" t="s">
        <v>205</v>
      </c>
      <c r="M237" s="9" t="s">
        <v>206</v>
      </c>
      <c r="N237" s="19" t="s">
        <v>224</v>
      </c>
    </row>
    <row r="238" spans="1:14" hidden="1" x14ac:dyDescent="0.25">
      <c r="A238" s="22">
        <v>128</v>
      </c>
      <c r="B238" s="12" t="s">
        <v>135</v>
      </c>
      <c r="C238" s="18" t="s">
        <v>136</v>
      </c>
      <c r="D238" s="19" t="s">
        <v>16</v>
      </c>
      <c r="E238" s="20"/>
      <c r="F238" s="9"/>
      <c r="G238" s="9"/>
      <c r="H238" s="31"/>
      <c r="I238" s="9"/>
      <c r="J238" s="13">
        <v>45363</v>
      </c>
      <c r="K238" s="9">
        <v>10</v>
      </c>
      <c r="L238" s="9" t="s">
        <v>210</v>
      </c>
      <c r="M238" s="9" t="s">
        <v>211</v>
      </c>
      <c r="N238" s="12"/>
    </row>
    <row r="239" spans="1:14" hidden="1" x14ac:dyDescent="0.25">
      <c r="A239" s="22">
        <v>66</v>
      </c>
      <c r="B239" s="12" t="s">
        <v>70</v>
      </c>
      <c r="C239" s="18" t="s">
        <v>71</v>
      </c>
      <c r="D239" s="26" t="s">
        <v>72</v>
      </c>
      <c r="E239" s="25"/>
      <c r="F239" s="22"/>
      <c r="G239" s="22"/>
      <c r="H239" s="22"/>
      <c r="I239" s="9"/>
      <c r="J239" s="23">
        <v>45363</v>
      </c>
      <c r="K239" s="22">
        <v>10</v>
      </c>
      <c r="L239" s="22" t="s">
        <v>210</v>
      </c>
      <c r="M239" s="22" t="s">
        <v>211</v>
      </c>
      <c r="N239" s="24"/>
    </row>
    <row r="240" spans="1:14" hidden="1" x14ac:dyDescent="0.25">
      <c r="A240" s="41">
        <v>98</v>
      </c>
      <c r="B240" s="42" t="s">
        <v>97</v>
      </c>
      <c r="C240" s="43" t="s">
        <v>98</v>
      </c>
      <c r="D240" s="53" t="s">
        <v>16</v>
      </c>
      <c r="E240" s="72"/>
      <c r="F240" s="32"/>
      <c r="G240" s="32"/>
      <c r="H240" s="36"/>
      <c r="I240" s="32"/>
      <c r="J240" s="73">
        <v>45363</v>
      </c>
      <c r="K240" s="32">
        <v>10</v>
      </c>
      <c r="L240" s="32" t="s">
        <v>210</v>
      </c>
      <c r="M240" s="32" t="s">
        <v>211</v>
      </c>
      <c r="N240" s="42"/>
    </row>
    <row r="241" spans="1:14" hidden="1" x14ac:dyDescent="0.25">
      <c r="A241" s="22">
        <v>142</v>
      </c>
      <c r="B241" s="12" t="s">
        <v>127</v>
      </c>
      <c r="C241" s="9" t="s">
        <v>128</v>
      </c>
      <c r="D241" s="9" t="s">
        <v>16</v>
      </c>
      <c r="E241" s="13"/>
      <c r="F241" s="9"/>
      <c r="G241" s="9"/>
      <c r="H241" s="31"/>
      <c r="I241" s="9"/>
      <c r="J241" s="13">
        <v>45363</v>
      </c>
      <c r="K241" s="9">
        <v>10</v>
      </c>
      <c r="L241" s="9" t="s">
        <v>210</v>
      </c>
      <c r="M241" s="9" t="s">
        <v>211</v>
      </c>
      <c r="N241" s="12"/>
    </row>
    <row r="242" spans="1:14" hidden="1" x14ac:dyDescent="0.25">
      <c r="A242" s="7">
        <v>57</v>
      </c>
      <c r="B242" s="8" t="s">
        <v>20</v>
      </c>
      <c r="C242" s="238" t="s">
        <v>21</v>
      </c>
      <c r="D242" s="70" t="s">
        <v>16</v>
      </c>
      <c r="E242" s="239"/>
      <c r="F242" s="28"/>
      <c r="G242" s="28"/>
      <c r="H242" s="28"/>
      <c r="I242" s="7"/>
      <c r="J242" s="11">
        <v>45372</v>
      </c>
      <c r="K242" s="28">
        <v>83</v>
      </c>
      <c r="L242" s="7" t="s">
        <v>205</v>
      </c>
      <c r="M242" s="9" t="s">
        <v>206</v>
      </c>
      <c r="N242" s="7" t="s">
        <v>197</v>
      </c>
    </row>
    <row r="243" spans="1:14" hidden="1" x14ac:dyDescent="0.25">
      <c r="A243" s="22">
        <v>123</v>
      </c>
      <c r="B243" s="12" t="s">
        <v>24</v>
      </c>
      <c r="C243" s="18" t="s">
        <v>130</v>
      </c>
      <c r="D243" s="19" t="s">
        <v>16</v>
      </c>
      <c r="E243" s="20"/>
      <c r="F243" s="9"/>
      <c r="G243" s="9"/>
      <c r="H243" s="31"/>
      <c r="I243" s="9"/>
      <c r="J243" s="13">
        <v>45372</v>
      </c>
      <c r="K243" s="9">
        <v>82</v>
      </c>
      <c r="L243" s="9" t="s">
        <v>205</v>
      </c>
      <c r="M243" s="9" t="s">
        <v>206</v>
      </c>
      <c r="N243" s="9" t="s">
        <v>197</v>
      </c>
    </row>
    <row r="244" spans="1:14" hidden="1" x14ac:dyDescent="0.25">
      <c r="A244" s="7">
        <v>55</v>
      </c>
      <c r="B244" s="8" t="s">
        <v>14</v>
      </c>
      <c r="C244" s="18" t="s">
        <v>86</v>
      </c>
      <c r="D244" s="19" t="s">
        <v>16</v>
      </c>
      <c r="E244" s="30"/>
      <c r="F244" s="7"/>
      <c r="G244" s="7"/>
      <c r="H244" s="7"/>
      <c r="I244" s="9"/>
      <c r="J244" s="11">
        <v>45372</v>
      </c>
      <c r="K244" s="7">
        <v>83</v>
      </c>
      <c r="L244" s="9" t="s">
        <v>205</v>
      </c>
      <c r="M244" s="9" t="s">
        <v>206</v>
      </c>
      <c r="N244" s="7" t="s">
        <v>197</v>
      </c>
    </row>
    <row r="245" spans="1:14" hidden="1" x14ac:dyDescent="0.25">
      <c r="A245" s="32">
        <v>56</v>
      </c>
      <c r="B245" s="12" t="s">
        <v>17</v>
      </c>
      <c r="C245" s="18" t="s">
        <v>18</v>
      </c>
      <c r="D245" s="19" t="s">
        <v>16</v>
      </c>
      <c r="E245" s="72"/>
      <c r="F245" s="32"/>
      <c r="G245" s="32"/>
      <c r="H245" s="32"/>
      <c r="I245" s="32"/>
      <c r="J245" s="73">
        <v>45372</v>
      </c>
      <c r="K245" s="32">
        <v>83</v>
      </c>
      <c r="L245" s="32" t="s">
        <v>205</v>
      </c>
      <c r="M245" s="9" t="s">
        <v>206</v>
      </c>
      <c r="N245" s="7" t="s">
        <v>197</v>
      </c>
    </row>
    <row r="246" spans="1:14" hidden="1" x14ac:dyDescent="0.25">
      <c r="A246" s="74">
        <v>132</v>
      </c>
      <c r="B246" s="16" t="s">
        <v>33</v>
      </c>
      <c r="C246" s="40" t="s">
        <v>34</v>
      </c>
      <c r="D246" s="34" t="s">
        <v>113</v>
      </c>
      <c r="E246" s="48"/>
      <c r="F246" s="26"/>
      <c r="G246" s="49"/>
      <c r="H246" s="49"/>
      <c r="I246" s="19"/>
      <c r="J246" s="51">
        <v>45372</v>
      </c>
      <c r="K246" s="26">
        <v>5</v>
      </c>
      <c r="L246" s="47" t="s">
        <v>205</v>
      </c>
      <c r="M246" s="9" t="s">
        <v>206</v>
      </c>
      <c r="N246" s="18" t="s">
        <v>197</v>
      </c>
    </row>
    <row r="247" spans="1:14" hidden="1" x14ac:dyDescent="0.25">
      <c r="A247" s="47">
        <v>132</v>
      </c>
      <c r="B247" s="16" t="s">
        <v>33</v>
      </c>
      <c r="C247" s="40" t="s">
        <v>34</v>
      </c>
      <c r="D247" s="34" t="s">
        <v>113</v>
      </c>
      <c r="E247" s="48"/>
      <c r="F247" s="26"/>
      <c r="G247" s="49"/>
      <c r="H247" s="49"/>
      <c r="I247" s="19"/>
      <c r="J247" s="51">
        <v>45372</v>
      </c>
      <c r="K247" s="26">
        <v>193</v>
      </c>
      <c r="L247" s="26" t="s">
        <v>205</v>
      </c>
      <c r="M247" s="9" t="s">
        <v>206</v>
      </c>
      <c r="N247" s="9" t="s">
        <v>197</v>
      </c>
    </row>
    <row r="248" spans="1:14" ht="20.100000000000001" customHeight="1" x14ac:dyDescent="0.25">
      <c r="A248" s="47">
        <v>131</v>
      </c>
      <c r="B248" s="12" t="s">
        <v>37</v>
      </c>
      <c r="C248" s="18" t="s">
        <v>38</v>
      </c>
      <c r="D248" s="75" t="s">
        <v>104</v>
      </c>
      <c r="E248" s="48"/>
      <c r="F248" s="26"/>
      <c r="G248" s="49"/>
      <c r="H248" s="49"/>
      <c r="I248" s="19"/>
      <c r="J248" s="51">
        <v>45372</v>
      </c>
      <c r="K248" s="26">
        <v>412</v>
      </c>
      <c r="L248" s="26" t="s">
        <v>205</v>
      </c>
      <c r="M248" s="9" t="s">
        <v>206</v>
      </c>
      <c r="N248" s="9" t="s">
        <v>197</v>
      </c>
    </row>
    <row r="249" spans="1:14" ht="20.100000000000001" hidden="1" customHeight="1" x14ac:dyDescent="0.25">
      <c r="A249" s="22">
        <v>130</v>
      </c>
      <c r="B249" s="12" t="s">
        <v>133</v>
      </c>
      <c r="C249" s="18" t="s">
        <v>134</v>
      </c>
      <c r="D249" s="19" t="s">
        <v>16</v>
      </c>
      <c r="E249" s="20"/>
      <c r="F249" s="9"/>
      <c r="G249" s="9"/>
      <c r="H249" s="31"/>
      <c r="I249" s="9"/>
      <c r="J249" s="13">
        <v>45398</v>
      </c>
      <c r="K249" s="9">
        <v>20</v>
      </c>
      <c r="L249" s="9" t="s">
        <v>723</v>
      </c>
      <c r="M249" s="9" t="s">
        <v>201</v>
      </c>
      <c r="N249" s="12"/>
    </row>
    <row r="250" spans="1:14" ht="20.100000000000001" customHeight="1" x14ac:dyDescent="0.25">
      <c r="A250" s="47">
        <v>131</v>
      </c>
      <c r="B250" s="12" t="s">
        <v>37</v>
      </c>
      <c r="C250" s="18" t="s">
        <v>38</v>
      </c>
      <c r="D250" s="26" t="s">
        <v>104</v>
      </c>
      <c r="E250" s="48"/>
      <c r="F250" s="26"/>
      <c r="G250" s="49"/>
      <c r="H250" s="49"/>
      <c r="I250" s="19"/>
      <c r="J250" s="51">
        <v>45399</v>
      </c>
      <c r="K250" s="26">
        <v>3</v>
      </c>
      <c r="L250" s="26" t="s">
        <v>212</v>
      </c>
      <c r="M250" s="9" t="s">
        <v>213</v>
      </c>
      <c r="N250" s="39"/>
    </row>
    <row r="251" spans="1:14" ht="20.100000000000001" hidden="1" customHeight="1" x14ac:dyDescent="0.25">
      <c r="A251" s="22">
        <v>138</v>
      </c>
      <c r="B251" s="12" t="s">
        <v>145</v>
      </c>
      <c r="C251" s="18" t="s">
        <v>146</v>
      </c>
      <c r="D251" s="19" t="s">
        <v>16</v>
      </c>
      <c r="E251" s="20"/>
      <c r="F251" s="9"/>
      <c r="G251" s="9"/>
      <c r="H251" s="31"/>
      <c r="I251" s="9"/>
      <c r="J251" s="13">
        <v>45405</v>
      </c>
      <c r="K251" s="9">
        <v>15</v>
      </c>
      <c r="L251" s="9" t="s">
        <v>205</v>
      </c>
      <c r="M251" s="9" t="s">
        <v>206</v>
      </c>
      <c r="N251" s="19" t="s">
        <v>224</v>
      </c>
    </row>
    <row r="252" spans="1:14" ht="20.100000000000001" hidden="1" customHeight="1" x14ac:dyDescent="0.25">
      <c r="A252" s="22">
        <v>138</v>
      </c>
      <c r="B252" s="12" t="s">
        <v>145</v>
      </c>
      <c r="C252" s="18" t="s">
        <v>146</v>
      </c>
      <c r="D252" s="19" t="s">
        <v>16</v>
      </c>
      <c r="E252" s="20"/>
      <c r="F252" s="9"/>
      <c r="G252" s="9"/>
      <c r="H252" s="31"/>
      <c r="I252" s="9"/>
      <c r="J252" s="13">
        <v>45406</v>
      </c>
      <c r="K252" s="9">
        <v>5</v>
      </c>
      <c r="L252" s="9" t="s">
        <v>205</v>
      </c>
      <c r="M252" s="9" t="s">
        <v>206</v>
      </c>
      <c r="N252" s="19" t="s">
        <v>224</v>
      </c>
    </row>
    <row r="253" spans="1:14" hidden="1" x14ac:dyDescent="0.25">
      <c r="A253" s="9">
        <v>98</v>
      </c>
      <c r="B253" s="8" t="s">
        <v>97</v>
      </c>
      <c r="C253" s="18" t="s">
        <v>98</v>
      </c>
      <c r="D253" s="19" t="s">
        <v>16</v>
      </c>
      <c r="E253" s="20"/>
      <c r="F253" s="9"/>
      <c r="G253" s="9"/>
      <c r="H253" s="9"/>
      <c r="I253" s="9"/>
      <c r="J253" s="13">
        <v>45439</v>
      </c>
      <c r="K253" s="9">
        <v>15</v>
      </c>
      <c r="L253" s="32" t="s">
        <v>205</v>
      </c>
      <c r="M253" s="9" t="s">
        <v>206</v>
      </c>
      <c r="N253" s="19" t="s">
        <v>224</v>
      </c>
    </row>
    <row r="254" spans="1:14" x14ac:dyDescent="0.25">
      <c r="A254" s="7">
        <v>59</v>
      </c>
      <c r="B254" s="12" t="s">
        <v>37</v>
      </c>
      <c r="C254" s="18" t="s">
        <v>38</v>
      </c>
      <c r="D254" s="19" t="s">
        <v>16</v>
      </c>
      <c r="E254" s="20"/>
      <c r="F254" s="9"/>
      <c r="G254" s="9"/>
      <c r="H254" s="9"/>
      <c r="I254" s="9"/>
      <c r="J254" s="13">
        <v>45456</v>
      </c>
      <c r="K254" s="18">
        <v>3</v>
      </c>
      <c r="L254" s="26" t="s">
        <v>205</v>
      </c>
      <c r="M254" s="9" t="s">
        <v>206</v>
      </c>
      <c r="N254" s="76" t="s">
        <v>214</v>
      </c>
    </row>
    <row r="255" spans="1:14" x14ac:dyDescent="0.25">
      <c r="A255" s="9" t="s">
        <v>40</v>
      </c>
      <c r="B255" s="12" t="s">
        <v>37</v>
      </c>
      <c r="C255" s="18" t="s">
        <v>38</v>
      </c>
      <c r="D255" s="19" t="s">
        <v>16</v>
      </c>
      <c r="E255" s="20"/>
      <c r="F255" s="9"/>
      <c r="G255" s="9"/>
      <c r="H255" s="9"/>
      <c r="I255" s="9"/>
      <c r="J255" s="13">
        <v>45456</v>
      </c>
      <c r="K255" s="18">
        <v>8</v>
      </c>
      <c r="L255" s="26" t="s">
        <v>205</v>
      </c>
      <c r="M255" s="9" t="s">
        <v>206</v>
      </c>
      <c r="N255" s="76" t="s">
        <v>214</v>
      </c>
    </row>
    <row r="256" spans="1:14" x14ac:dyDescent="0.25">
      <c r="A256" s="67" t="s">
        <v>35</v>
      </c>
      <c r="B256" s="42" t="s">
        <v>37</v>
      </c>
      <c r="C256" s="32" t="s">
        <v>38</v>
      </c>
      <c r="D256" s="77"/>
      <c r="E256" s="73"/>
      <c r="F256" s="32"/>
      <c r="G256" s="32"/>
      <c r="H256" s="32"/>
      <c r="I256" s="32"/>
      <c r="J256" s="73">
        <v>45456</v>
      </c>
      <c r="K256" s="43">
        <v>60</v>
      </c>
      <c r="L256" s="26" t="s">
        <v>205</v>
      </c>
      <c r="M256" s="9" t="s">
        <v>206</v>
      </c>
      <c r="N256" s="78" t="s">
        <v>214</v>
      </c>
    </row>
    <row r="257" spans="1:14" x14ac:dyDescent="0.25">
      <c r="A257" s="9">
        <v>180</v>
      </c>
      <c r="B257" s="12" t="s">
        <v>37</v>
      </c>
      <c r="C257" s="18" t="s">
        <v>38</v>
      </c>
      <c r="D257" s="26" t="s">
        <v>104</v>
      </c>
      <c r="E257" s="20"/>
      <c r="F257" s="9"/>
      <c r="G257" s="9"/>
      <c r="H257" s="9"/>
      <c r="I257" s="9"/>
      <c r="J257" s="13">
        <v>45456</v>
      </c>
      <c r="K257" s="9">
        <v>412</v>
      </c>
      <c r="L257" s="26" t="s">
        <v>205</v>
      </c>
      <c r="M257" s="9" t="s">
        <v>206</v>
      </c>
      <c r="N257" s="9" t="s">
        <v>197</v>
      </c>
    </row>
    <row r="258" spans="1:14" hidden="1" x14ac:dyDescent="0.25">
      <c r="A258" s="75">
        <v>132</v>
      </c>
      <c r="B258" s="79" t="s">
        <v>33</v>
      </c>
      <c r="C258" s="80" t="s">
        <v>34</v>
      </c>
      <c r="D258" s="34" t="s">
        <v>113</v>
      </c>
      <c r="E258" s="81"/>
      <c r="F258" s="75"/>
      <c r="G258" s="82"/>
      <c r="H258" s="82"/>
      <c r="I258" s="70"/>
      <c r="J258" s="81">
        <v>45456</v>
      </c>
      <c r="K258" s="75">
        <v>192</v>
      </c>
      <c r="L258" s="75" t="s">
        <v>205</v>
      </c>
      <c r="M258" s="9" t="s">
        <v>206</v>
      </c>
      <c r="N258" s="70" t="s">
        <v>197</v>
      </c>
    </row>
    <row r="259" spans="1:14" hidden="1" x14ac:dyDescent="0.25">
      <c r="A259" s="22">
        <v>136</v>
      </c>
      <c r="B259" s="12" t="s">
        <v>14</v>
      </c>
      <c r="C259" s="18" t="s">
        <v>122</v>
      </c>
      <c r="D259" s="70" t="s">
        <v>16</v>
      </c>
      <c r="E259" s="20"/>
      <c r="F259" s="9"/>
      <c r="G259" s="9"/>
      <c r="H259" s="31"/>
      <c r="I259" s="9"/>
      <c r="J259" s="13">
        <v>45456</v>
      </c>
      <c r="K259" s="9">
        <v>83</v>
      </c>
      <c r="L259" s="9" t="s">
        <v>205</v>
      </c>
      <c r="M259" s="9" t="s">
        <v>206</v>
      </c>
      <c r="N259" s="7" t="s">
        <v>197</v>
      </c>
    </row>
    <row r="260" spans="1:14" hidden="1" x14ac:dyDescent="0.25">
      <c r="A260" s="32">
        <v>56</v>
      </c>
      <c r="B260" s="12" t="s">
        <v>17</v>
      </c>
      <c r="C260" s="18" t="s">
        <v>18</v>
      </c>
      <c r="D260" s="19" t="s">
        <v>16</v>
      </c>
      <c r="E260" s="72"/>
      <c r="F260" s="32"/>
      <c r="G260" s="32"/>
      <c r="H260" s="32"/>
      <c r="I260" s="32"/>
      <c r="J260" s="73">
        <v>45456</v>
      </c>
      <c r="K260" s="32">
        <v>83</v>
      </c>
      <c r="L260" s="32" t="s">
        <v>205</v>
      </c>
      <c r="M260" s="9" t="s">
        <v>206</v>
      </c>
      <c r="N260" s="7" t="s">
        <v>197</v>
      </c>
    </row>
    <row r="261" spans="1:14" hidden="1" x14ac:dyDescent="0.25">
      <c r="A261" s="22">
        <v>161</v>
      </c>
      <c r="B261" s="12" t="s">
        <v>24</v>
      </c>
      <c r="C261" s="18" t="s">
        <v>130</v>
      </c>
      <c r="D261" s="19" t="s">
        <v>16</v>
      </c>
      <c r="E261" s="20"/>
      <c r="F261" s="9"/>
      <c r="G261" s="9"/>
      <c r="H261" s="31"/>
      <c r="I261" s="9"/>
      <c r="J261" s="13">
        <v>45090</v>
      </c>
      <c r="K261" s="9">
        <v>83</v>
      </c>
      <c r="L261" s="9" t="s">
        <v>205</v>
      </c>
      <c r="M261" s="9" t="s">
        <v>206</v>
      </c>
      <c r="N261" s="9" t="s">
        <v>197</v>
      </c>
    </row>
    <row r="262" spans="1:14" hidden="1" x14ac:dyDescent="0.25">
      <c r="A262" s="22">
        <v>138</v>
      </c>
      <c r="B262" s="12" t="s">
        <v>145</v>
      </c>
      <c r="C262" s="18" t="s">
        <v>146</v>
      </c>
      <c r="D262" s="19" t="s">
        <v>16</v>
      </c>
      <c r="E262" s="20"/>
      <c r="F262" s="9"/>
      <c r="G262" s="9"/>
      <c r="H262" s="31"/>
      <c r="I262" s="9"/>
      <c r="J262" s="13">
        <v>45456</v>
      </c>
      <c r="K262" s="9">
        <v>150</v>
      </c>
      <c r="L262" s="9" t="s">
        <v>205</v>
      </c>
      <c r="M262" s="9" t="s">
        <v>206</v>
      </c>
      <c r="N262" s="9" t="s">
        <v>224</v>
      </c>
    </row>
    <row r="263" spans="1:14" hidden="1" x14ac:dyDescent="0.25">
      <c r="A263" s="22">
        <v>66</v>
      </c>
      <c r="B263" s="12" t="s">
        <v>70</v>
      </c>
      <c r="C263" s="18" t="s">
        <v>71</v>
      </c>
      <c r="D263" s="26" t="s">
        <v>72</v>
      </c>
      <c r="E263" s="25"/>
      <c r="F263" s="22"/>
      <c r="G263" s="22"/>
      <c r="H263" s="22"/>
      <c r="I263" s="9"/>
      <c r="J263" s="23">
        <v>45464</v>
      </c>
      <c r="K263" s="22">
        <v>5</v>
      </c>
      <c r="L263" s="22" t="s">
        <v>210</v>
      </c>
      <c r="M263" s="22" t="s">
        <v>215</v>
      </c>
      <c r="N263" s="24"/>
    </row>
    <row r="264" spans="1:14" hidden="1" x14ac:dyDescent="0.25">
      <c r="A264" s="22">
        <v>87</v>
      </c>
      <c r="B264" s="12" t="s">
        <v>138</v>
      </c>
      <c r="C264" s="18" t="s">
        <v>139</v>
      </c>
      <c r="D264" s="19" t="s">
        <v>16</v>
      </c>
      <c r="E264" s="20"/>
      <c r="F264" s="9"/>
      <c r="G264" s="9"/>
      <c r="H264" s="31"/>
      <c r="I264" s="9"/>
      <c r="J264" s="13">
        <v>45468</v>
      </c>
      <c r="K264" s="9">
        <v>3</v>
      </c>
      <c r="L264" s="9" t="s">
        <v>724</v>
      </c>
      <c r="M264" s="9" t="s">
        <v>216</v>
      </c>
      <c r="N264" s="12"/>
    </row>
    <row r="265" spans="1:14" hidden="1" x14ac:dyDescent="0.25">
      <c r="A265" s="22">
        <v>87</v>
      </c>
      <c r="B265" s="12" t="s">
        <v>138</v>
      </c>
      <c r="C265" s="18" t="s">
        <v>139</v>
      </c>
      <c r="D265" s="19" t="s">
        <v>16</v>
      </c>
      <c r="E265" s="20"/>
      <c r="F265" s="9"/>
      <c r="G265" s="9"/>
      <c r="H265" s="31"/>
      <c r="I265" s="9"/>
      <c r="J265" s="13">
        <v>45475</v>
      </c>
      <c r="K265" s="9">
        <v>4</v>
      </c>
      <c r="L265" s="26" t="s">
        <v>205</v>
      </c>
      <c r="M265" s="9" t="s">
        <v>206</v>
      </c>
      <c r="N265" s="9" t="s">
        <v>217</v>
      </c>
    </row>
    <row r="266" spans="1:14" hidden="1" x14ac:dyDescent="0.25">
      <c r="A266" s="9">
        <v>108</v>
      </c>
      <c r="B266" s="12" t="s">
        <v>102</v>
      </c>
      <c r="C266" s="18" t="s">
        <v>103</v>
      </c>
      <c r="D266" s="19" t="s">
        <v>113</v>
      </c>
      <c r="E266" s="20"/>
      <c r="F266" s="9"/>
      <c r="G266" s="31"/>
      <c r="H266" s="31"/>
      <c r="I266" s="9"/>
      <c r="J266" s="13">
        <v>45475</v>
      </c>
      <c r="K266" s="9">
        <v>5</v>
      </c>
      <c r="L266" s="26" t="s">
        <v>205</v>
      </c>
      <c r="M266" s="9" t="s">
        <v>206</v>
      </c>
      <c r="N266" s="9" t="s">
        <v>217</v>
      </c>
    </row>
    <row r="267" spans="1:14" hidden="1" x14ac:dyDescent="0.25">
      <c r="A267" s="9">
        <v>109</v>
      </c>
      <c r="B267" s="12" t="s">
        <v>105</v>
      </c>
      <c r="C267" s="18" t="s">
        <v>114</v>
      </c>
      <c r="D267" s="19" t="s">
        <v>113</v>
      </c>
      <c r="E267" s="20"/>
      <c r="F267" s="9"/>
      <c r="G267" s="31"/>
      <c r="H267" s="31"/>
      <c r="I267" s="9"/>
      <c r="J267" s="13">
        <v>45475</v>
      </c>
      <c r="K267" s="9">
        <v>3</v>
      </c>
      <c r="L267" s="26" t="s">
        <v>205</v>
      </c>
      <c r="M267" s="9" t="s">
        <v>206</v>
      </c>
      <c r="N267" s="9" t="s">
        <v>217</v>
      </c>
    </row>
    <row r="268" spans="1:14" hidden="1" x14ac:dyDescent="0.25">
      <c r="A268" s="9">
        <v>110</v>
      </c>
      <c r="B268" s="12" t="s">
        <v>107</v>
      </c>
      <c r="C268" s="18" t="s">
        <v>115</v>
      </c>
      <c r="D268" s="19" t="s">
        <v>113</v>
      </c>
      <c r="E268" s="20"/>
      <c r="F268" s="9"/>
      <c r="G268" s="31"/>
      <c r="H268" s="31"/>
      <c r="I268" s="9"/>
      <c r="J268" s="13">
        <v>45475</v>
      </c>
      <c r="K268" s="9">
        <v>5</v>
      </c>
      <c r="L268" s="9" t="s">
        <v>205</v>
      </c>
      <c r="M268" s="9" t="s">
        <v>206</v>
      </c>
      <c r="N268" s="9" t="s">
        <v>217</v>
      </c>
    </row>
    <row r="269" spans="1:14" hidden="1" x14ac:dyDescent="0.25">
      <c r="A269" s="9">
        <v>76</v>
      </c>
      <c r="B269" s="12" t="s">
        <v>109</v>
      </c>
      <c r="C269" s="18" t="s">
        <v>110</v>
      </c>
      <c r="D269" s="19" t="s">
        <v>104</v>
      </c>
      <c r="E269" s="20"/>
      <c r="F269" s="9"/>
      <c r="G269" s="31"/>
      <c r="H269" s="9"/>
      <c r="I269" s="9"/>
      <c r="J269" s="13">
        <v>45475</v>
      </c>
      <c r="K269" s="9">
        <v>5</v>
      </c>
      <c r="L269" s="26" t="s">
        <v>205</v>
      </c>
      <c r="M269" s="9" t="s">
        <v>206</v>
      </c>
      <c r="N269" s="9" t="s">
        <v>217</v>
      </c>
    </row>
    <row r="270" spans="1:14" hidden="1" x14ac:dyDescent="0.25">
      <c r="A270" s="22">
        <v>112</v>
      </c>
      <c r="B270" s="12" t="s">
        <v>111</v>
      </c>
      <c r="C270" s="18" t="s">
        <v>116</v>
      </c>
      <c r="D270" s="19" t="s">
        <v>113</v>
      </c>
      <c r="E270" s="20"/>
      <c r="F270" s="9"/>
      <c r="G270" s="31"/>
      <c r="H270" s="31"/>
      <c r="I270" s="9"/>
      <c r="J270" s="13">
        <v>45475</v>
      </c>
      <c r="K270" s="9">
        <v>5</v>
      </c>
      <c r="L270" s="26" t="s">
        <v>205</v>
      </c>
      <c r="M270" s="9" t="s">
        <v>206</v>
      </c>
      <c r="N270" s="9" t="s">
        <v>217</v>
      </c>
    </row>
    <row r="271" spans="1:14" hidden="1" x14ac:dyDescent="0.25">
      <c r="A271" s="22">
        <v>138</v>
      </c>
      <c r="B271" s="12" t="s">
        <v>145</v>
      </c>
      <c r="C271" s="18" t="s">
        <v>146</v>
      </c>
      <c r="D271" s="19" t="s">
        <v>16</v>
      </c>
      <c r="E271" s="20"/>
      <c r="F271" s="9"/>
      <c r="G271" s="9"/>
      <c r="H271" s="31"/>
      <c r="I271" s="9"/>
      <c r="J271" s="13">
        <v>45502</v>
      </c>
      <c r="K271" s="9">
        <v>15</v>
      </c>
      <c r="L271" s="9" t="s">
        <v>205</v>
      </c>
      <c r="M271" s="9" t="s">
        <v>206</v>
      </c>
      <c r="N271" s="9" t="s">
        <v>224</v>
      </c>
    </row>
    <row r="272" spans="1:14" hidden="1" x14ac:dyDescent="0.25">
      <c r="A272" s="22">
        <v>66</v>
      </c>
      <c r="B272" s="12" t="s">
        <v>70</v>
      </c>
      <c r="C272" s="18" t="s">
        <v>71</v>
      </c>
      <c r="D272" s="26" t="s">
        <v>72</v>
      </c>
      <c r="E272" s="25"/>
      <c r="F272" s="22"/>
      <c r="G272" s="22"/>
      <c r="H272" s="22"/>
      <c r="I272" s="9"/>
      <c r="J272" s="23">
        <v>45527</v>
      </c>
      <c r="K272" s="22">
        <v>75</v>
      </c>
      <c r="L272" s="22" t="s">
        <v>212</v>
      </c>
      <c r="M272" s="9" t="s">
        <v>206</v>
      </c>
      <c r="N272" s="22" t="s">
        <v>218</v>
      </c>
    </row>
    <row r="273" spans="1:14" hidden="1" x14ac:dyDescent="0.25">
      <c r="A273" s="22">
        <v>130</v>
      </c>
      <c r="B273" s="12" t="s">
        <v>133</v>
      </c>
      <c r="C273" s="18" t="s">
        <v>134</v>
      </c>
      <c r="D273" s="19" t="s">
        <v>16</v>
      </c>
      <c r="E273" s="20"/>
      <c r="F273" s="9"/>
      <c r="G273" s="9"/>
      <c r="H273" s="31"/>
      <c r="I273" s="9"/>
      <c r="J273" s="13">
        <v>45537</v>
      </c>
      <c r="K273" s="9">
        <v>9</v>
      </c>
      <c r="L273" s="26" t="s">
        <v>205</v>
      </c>
      <c r="M273" s="9" t="s">
        <v>206</v>
      </c>
      <c r="N273" s="9" t="s">
        <v>219</v>
      </c>
    </row>
    <row r="274" spans="1:14" hidden="1" x14ac:dyDescent="0.25">
      <c r="A274" s="19">
        <v>99</v>
      </c>
      <c r="B274" s="55" t="s">
        <v>99</v>
      </c>
      <c r="C274" s="19" t="s">
        <v>98</v>
      </c>
      <c r="D274" s="19" t="s">
        <v>16</v>
      </c>
      <c r="E274" s="84"/>
      <c r="F274" s="19"/>
      <c r="G274" s="34"/>
      <c r="H274" s="34"/>
      <c r="I274" s="19"/>
      <c r="J274" s="84">
        <v>45539</v>
      </c>
      <c r="K274" s="19">
        <v>15</v>
      </c>
      <c r="L274" s="19" t="s">
        <v>205</v>
      </c>
      <c r="M274" s="9" t="s">
        <v>206</v>
      </c>
      <c r="N274" s="19" t="s">
        <v>224</v>
      </c>
    </row>
    <row r="275" spans="1:14" x14ac:dyDescent="0.25">
      <c r="A275" s="9">
        <v>180</v>
      </c>
      <c r="B275" s="12" t="s">
        <v>37</v>
      </c>
      <c r="C275" s="18" t="s">
        <v>38</v>
      </c>
      <c r="D275" s="26" t="s">
        <v>104</v>
      </c>
      <c r="E275" s="20"/>
      <c r="F275" s="9"/>
      <c r="G275" s="9"/>
      <c r="H275" s="9"/>
      <c r="I275" s="9"/>
      <c r="J275" s="13">
        <v>45541</v>
      </c>
      <c r="K275" s="9">
        <v>415</v>
      </c>
      <c r="L275" s="26" t="s">
        <v>205</v>
      </c>
      <c r="M275" s="9" t="s">
        <v>206</v>
      </c>
      <c r="N275" s="9" t="s">
        <v>197</v>
      </c>
    </row>
    <row r="276" spans="1:14" hidden="1" x14ac:dyDescent="0.25">
      <c r="A276" s="26">
        <v>181</v>
      </c>
      <c r="B276" s="55" t="s">
        <v>84</v>
      </c>
      <c r="C276" s="19" t="s">
        <v>85</v>
      </c>
      <c r="D276" s="26" t="s">
        <v>104</v>
      </c>
      <c r="E276" s="51"/>
      <c r="F276" s="26"/>
      <c r="G276" s="49"/>
      <c r="H276" s="49"/>
      <c r="I276" s="19"/>
      <c r="J276" s="51">
        <v>45541</v>
      </c>
      <c r="K276" s="26">
        <v>192</v>
      </c>
      <c r="L276" s="26" t="s">
        <v>205</v>
      </c>
      <c r="M276" s="9" t="s">
        <v>206</v>
      </c>
      <c r="N276" s="26" t="s">
        <v>197</v>
      </c>
    </row>
    <row r="277" spans="1:14" hidden="1" x14ac:dyDescent="0.25">
      <c r="A277" s="19">
        <v>56</v>
      </c>
      <c r="B277" s="55" t="s">
        <v>17</v>
      </c>
      <c r="C277" s="19" t="s">
        <v>18</v>
      </c>
      <c r="D277" s="10" t="s">
        <v>16</v>
      </c>
      <c r="E277" s="84"/>
      <c r="F277" s="19"/>
      <c r="G277" s="19"/>
      <c r="H277" s="19"/>
      <c r="I277" s="19"/>
      <c r="J277" s="84">
        <v>45541</v>
      </c>
      <c r="K277" s="19">
        <v>82</v>
      </c>
      <c r="L277" s="19" t="s">
        <v>205</v>
      </c>
      <c r="M277" s="9" t="s">
        <v>206</v>
      </c>
      <c r="N277" s="19" t="s">
        <v>197</v>
      </c>
    </row>
    <row r="278" spans="1:14" hidden="1" x14ac:dyDescent="0.25">
      <c r="A278" s="9">
        <v>57</v>
      </c>
      <c r="B278" s="12" t="s">
        <v>20</v>
      </c>
      <c r="C278" s="18" t="s">
        <v>21</v>
      </c>
      <c r="D278" s="19" t="s">
        <v>16</v>
      </c>
      <c r="E278" s="25"/>
      <c r="F278" s="22"/>
      <c r="G278" s="22"/>
      <c r="H278" s="22"/>
      <c r="I278" s="9"/>
      <c r="J278" s="13">
        <v>45427</v>
      </c>
      <c r="K278" s="22">
        <v>83</v>
      </c>
      <c r="L278" s="9" t="s">
        <v>205</v>
      </c>
      <c r="M278" s="9" t="s">
        <v>206</v>
      </c>
      <c r="N278" s="9" t="s">
        <v>197</v>
      </c>
    </row>
    <row r="279" spans="1:14" hidden="1" x14ac:dyDescent="0.25">
      <c r="A279" s="22">
        <v>122</v>
      </c>
      <c r="B279" s="12" t="s">
        <v>20</v>
      </c>
      <c r="C279" s="18" t="s">
        <v>129</v>
      </c>
      <c r="D279" s="19" t="s">
        <v>16</v>
      </c>
      <c r="E279" s="20"/>
      <c r="F279" s="9"/>
      <c r="G279" s="9"/>
      <c r="H279" s="31"/>
      <c r="I279" s="9"/>
      <c r="J279" s="13">
        <v>45541</v>
      </c>
      <c r="K279" s="9">
        <v>82</v>
      </c>
      <c r="L279" s="9" t="s">
        <v>205</v>
      </c>
      <c r="M279" s="9" t="s">
        <v>206</v>
      </c>
      <c r="N279" s="9" t="s">
        <v>197</v>
      </c>
    </row>
    <row r="280" spans="1:14" hidden="1" x14ac:dyDescent="0.25">
      <c r="A280" s="7">
        <v>55</v>
      </c>
      <c r="B280" s="8" t="s">
        <v>14</v>
      </c>
      <c r="C280" s="18" t="s">
        <v>86</v>
      </c>
      <c r="D280" s="19" t="s">
        <v>16</v>
      </c>
      <c r="E280" s="30"/>
      <c r="F280" s="7"/>
      <c r="G280" s="7"/>
      <c r="H280" s="7"/>
      <c r="I280" s="9"/>
      <c r="J280" s="11">
        <v>45541</v>
      </c>
      <c r="K280" s="7">
        <v>74</v>
      </c>
      <c r="L280" s="9" t="s">
        <v>205</v>
      </c>
      <c r="M280" s="9" t="s">
        <v>206</v>
      </c>
      <c r="N280" s="7" t="s">
        <v>197</v>
      </c>
    </row>
    <row r="281" spans="1:14" hidden="1" x14ac:dyDescent="0.25">
      <c r="A281" s="9" t="s">
        <v>23</v>
      </c>
      <c r="B281" s="12" t="s">
        <v>24</v>
      </c>
      <c r="C281" s="18" t="s">
        <v>25</v>
      </c>
      <c r="D281" s="19" t="s">
        <v>16</v>
      </c>
      <c r="E281" s="20"/>
      <c r="F281" s="9"/>
      <c r="G281" s="9"/>
      <c r="H281" s="9"/>
      <c r="I281" s="9"/>
      <c r="J281" s="13">
        <v>45541</v>
      </c>
      <c r="K281" s="9">
        <v>50</v>
      </c>
      <c r="L281" s="9" t="s">
        <v>205</v>
      </c>
      <c r="M281" s="9" t="s">
        <v>206</v>
      </c>
      <c r="N281" s="9" t="s">
        <v>197</v>
      </c>
    </row>
    <row r="282" spans="1:14" ht="20.100000000000001" hidden="1" customHeight="1" x14ac:dyDescent="0.25">
      <c r="A282" s="9">
        <v>45</v>
      </c>
      <c r="B282" s="12" t="s">
        <v>26</v>
      </c>
      <c r="C282" s="18" t="s">
        <v>27</v>
      </c>
      <c r="D282" s="19" t="s">
        <v>28</v>
      </c>
      <c r="E282" s="20"/>
      <c r="F282" s="9"/>
      <c r="G282" s="9"/>
      <c r="H282" s="9"/>
      <c r="I282" s="9"/>
      <c r="J282" s="13">
        <v>45541</v>
      </c>
      <c r="K282" s="9">
        <v>2</v>
      </c>
      <c r="L282" s="22" t="s">
        <v>722</v>
      </c>
      <c r="M282" s="9" t="s">
        <v>220</v>
      </c>
      <c r="N282" s="12"/>
    </row>
    <row r="283" spans="1:14" hidden="1" x14ac:dyDescent="0.25">
      <c r="A283" s="22">
        <v>71</v>
      </c>
      <c r="B283" s="12" t="s">
        <v>68</v>
      </c>
      <c r="C283" s="18" t="s">
        <v>69</v>
      </c>
      <c r="D283" s="19" t="s">
        <v>16</v>
      </c>
      <c r="E283" s="25"/>
      <c r="F283" s="22"/>
      <c r="G283" s="22"/>
      <c r="H283" s="22"/>
      <c r="I283" s="9"/>
      <c r="J283" s="23">
        <v>45541</v>
      </c>
      <c r="K283" s="22">
        <v>15</v>
      </c>
      <c r="L283" s="26" t="s">
        <v>205</v>
      </c>
      <c r="M283" s="9" t="s">
        <v>206</v>
      </c>
      <c r="N283" s="22" t="s">
        <v>197</v>
      </c>
    </row>
    <row r="284" spans="1:14" hidden="1" x14ac:dyDescent="0.25">
      <c r="A284" s="22">
        <v>72</v>
      </c>
      <c r="B284" s="12" t="s">
        <v>68</v>
      </c>
      <c r="C284" s="18" t="s">
        <v>69</v>
      </c>
      <c r="D284" s="19" t="s">
        <v>16</v>
      </c>
      <c r="E284" s="25"/>
      <c r="F284" s="22"/>
      <c r="G284" s="22"/>
      <c r="H284" s="22"/>
      <c r="I284" s="9"/>
      <c r="J284" s="23">
        <v>45541</v>
      </c>
      <c r="K284" s="22">
        <v>70</v>
      </c>
      <c r="L284" s="26" t="s">
        <v>205</v>
      </c>
      <c r="M284" s="9" t="s">
        <v>206</v>
      </c>
      <c r="N284" s="22" t="s">
        <v>221</v>
      </c>
    </row>
    <row r="285" spans="1:14" hidden="1" x14ac:dyDescent="0.25">
      <c r="A285" s="41">
        <v>129</v>
      </c>
      <c r="B285" s="42" t="s">
        <v>68</v>
      </c>
      <c r="C285" s="43" t="s">
        <v>69</v>
      </c>
      <c r="D285" s="53" t="s">
        <v>16</v>
      </c>
      <c r="E285" s="72"/>
      <c r="F285" s="32"/>
      <c r="G285" s="32"/>
      <c r="H285" s="36"/>
      <c r="I285" s="32"/>
      <c r="J285" s="190">
        <v>45541</v>
      </c>
      <c r="K285" s="32">
        <v>38</v>
      </c>
      <c r="L285" s="26" t="s">
        <v>205</v>
      </c>
      <c r="M285" s="9" t="s">
        <v>206</v>
      </c>
      <c r="N285" s="41" t="s">
        <v>221</v>
      </c>
    </row>
    <row r="286" spans="1:14" hidden="1" x14ac:dyDescent="0.25">
      <c r="A286" s="22">
        <v>142</v>
      </c>
      <c r="B286" s="12" t="s">
        <v>127</v>
      </c>
      <c r="C286" s="9" t="s">
        <v>128</v>
      </c>
      <c r="D286" s="9" t="s">
        <v>16</v>
      </c>
      <c r="E286" s="13"/>
      <c r="F286" s="9"/>
      <c r="G286" s="9"/>
      <c r="H286" s="31"/>
      <c r="I286" s="9"/>
      <c r="J286" s="13">
        <v>45541</v>
      </c>
      <c r="K286" s="9">
        <v>5</v>
      </c>
      <c r="L286" s="26" t="s">
        <v>205</v>
      </c>
      <c r="M286" s="9" t="s">
        <v>206</v>
      </c>
      <c r="N286" s="9" t="s">
        <v>222</v>
      </c>
    </row>
    <row r="287" spans="1:14" hidden="1" x14ac:dyDescent="0.25">
      <c r="A287" s="28">
        <v>66</v>
      </c>
      <c r="B287" s="8" t="s">
        <v>70</v>
      </c>
      <c r="C287" s="238" t="s">
        <v>71</v>
      </c>
      <c r="D287" s="75" t="s">
        <v>72</v>
      </c>
      <c r="E287" s="239"/>
      <c r="F287" s="28"/>
      <c r="G287" s="28"/>
      <c r="H287" s="28"/>
      <c r="I287" s="7"/>
      <c r="J287" s="205">
        <v>45545</v>
      </c>
      <c r="K287" s="28">
        <v>3</v>
      </c>
      <c r="L287" s="28" t="s">
        <v>223</v>
      </c>
      <c r="M287" s="28"/>
      <c r="N287" s="241"/>
    </row>
    <row r="288" spans="1:14" hidden="1" x14ac:dyDescent="0.25">
      <c r="A288" s="26">
        <v>150</v>
      </c>
      <c r="B288" s="55" t="s">
        <v>70</v>
      </c>
      <c r="C288" s="19" t="s">
        <v>71</v>
      </c>
      <c r="D288" s="26" t="s">
        <v>72</v>
      </c>
      <c r="E288" s="51"/>
      <c r="F288" s="26"/>
      <c r="G288" s="49"/>
      <c r="H288" s="49"/>
      <c r="I288" s="19"/>
      <c r="J288" s="23">
        <v>45545</v>
      </c>
      <c r="K288" s="26">
        <v>2</v>
      </c>
      <c r="L288" s="22" t="s">
        <v>223</v>
      </c>
      <c r="M288" s="22"/>
      <c r="N288" s="39"/>
    </row>
    <row r="289" spans="1:14" hidden="1" x14ac:dyDescent="0.25">
      <c r="A289" s="26">
        <v>132</v>
      </c>
      <c r="B289" s="56" t="s">
        <v>33</v>
      </c>
      <c r="C289" s="61" t="s">
        <v>34</v>
      </c>
      <c r="D289" s="34" t="s">
        <v>113</v>
      </c>
      <c r="E289" s="51"/>
      <c r="F289" s="26"/>
      <c r="G289" s="49"/>
      <c r="H289" s="49"/>
      <c r="I289" s="19"/>
      <c r="J289" s="51">
        <v>45544</v>
      </c>
      <c r="K289" s="26">
        <v>202</v>
      </c>
      <c r="L289" s="26" t="s">
        <v>205</v>
      </c>
      <c r="M289" s="9" t="s">
        <v>206</v>
      </c>
      <c r="N289" s="19" t="s">
        <v>197</v>
      </c>
    </row>
    <row r="290" spans="1:14" hidden="1" x14ac:dyDescent="0.25">
      <c r="A290" s="22">
        <v>136</v>
      </c>
      <c r="B290" s="12" t="s">
        <v>14</v>
      </c>
      <c r="C290" s="18" t="s">
        <v>122</v>
      </c>
      <c r="D290" s="70" t="s">
        <v>16</v>
      </c>
      <c r="E290" s="20"/>
      <c r="F290" s="9"/>
      <c r="G290" s="9"/>
      <c r="H290" s="31"/>
      <c r="I290" s="9"/>
      <c r="J290" s="11">
        <v>45541</v>
      </c>
      <c r="K290" s="7">
        <v>8</v>
      </c>
      <c r="L290" s="9" t="s">
        <v>205</v>
      </c>
      <c r="M290" s="9" t="s">
        <v>206</v>
      </c>
      <c r="N290" s="7" t="s">
        <v>197</v>
      </c>
    </row>
    <row r="291" spans="1:14" hidden="1" x14ac:dyDescent="0.25">
      <c r="A291" s="22">
        <v>161</v>
      </c>
      <c r="B291" s="12" t="s">
        <v>24</v>
      </c>
      <c r="C291" s="18" t="s">
        <v>25</v>
      </c>
      <c r="D291" s="19" t="s">
        <v>16</v>
      </c>
      <c r="E291" s="20"/>
      <c r="F291" s="9"/>
      <c r="G291" s="9"/>
      <c r="H291" s="9"/>
      <c r="I291" s="9"/>
      <c r="J291" s="73">
        <v>45541</v>
      </c>
      <c r="K291" s="32">
        <v>32</v>
      </c>
      <c r="L291" s="32" t="s">
        <v>205</v>
      </c>
      <c r="M291" s="9" t="s">
        <v>206</v>
      </c>
      <c r="N291" s="32" t="s">
        <v>197</v>
      </c>
    </row>
    <row r="292" spans="1:14" hidden="1" x14ac:dyDescent="0.25">
      <c r="A292" s="9">
        <v>85</v>
      </c>
      <c r="B292" s="12" t="s">
        <v>46</v>
      </c>
      <c r="C292" s="18" t="s">
        <v>78</v>
      </c>
      <c r="D292" s="19" t="s">
        <v>16</v>
      </c>
      <c r="E292" s="25"/>
      <c r="F292" s="22"/>
      <c r="G292" s="22"/>
      <c r="H292" s="22"/>
      <c r="I292" s="9"/>
      <c r="J292" s="23">
        <v>45572</v>
      </c>
      <c r="K292" s="22">
        <v>22</v>
      </c>
      <c r="L292" s="9" t="s">
        <v>205</v>
      </c>
      <c r="M292" s="9" t="s">
        <v>206</v>
      </c>
      <c r="N292" s="225" t="s">
        <v>224</v>
      </c>
    </row>
    <row r="293" spans="1:14" hidden="1" x14ac:dyDescent="0.25">
      <c r="A293" s="9">
        <v>86</v>
      </c>
      <c r="B293" s="12" t="s">
        <v>46</v>
      </c>
      <c r="C293" s="18" t="s">
        <v>78</v>
      </c>
      <c r="D293" s="19" t="s">
        <v>16</v>
      </c>
      <c r="E293" s="25"/>
      <c r="F293" s="22"/>
      <c r="G293" s="22"/>
      <c r="H293" s="22"/>
      <c r="I293" s="9"/>
      <c r="J293" s="23">
        <v>45572</v>
      </c>
      <c r="K293" s="22">
        <v>109</v>
      </c>
      <c r="L293" s="9" t="s">
        <v>205</v>
      </c>
      <c r="M293" s="9" t="s">
        <v>206</v>
      </c>
      <c r="N293" s="225" t="s">
        <v>224</v>
      </c>
    </row>
    <row r="294" spans="1:14" hidden="1" x14ac:dyDescent="0.25">
      <c r="A294" s="9">
        <v>100</v>
      </c>
      <c r="B294" s="12" t="s">
        <v>100</v>
      </c>
      <c r="C294" s="18" t="s">
        <v>78</v>
      </c>
      <c r="D294" s="19" t="s">
        <v>16</v>
      </c>
      <c r="E294" s="20"/>
      <c r="F294" s="9"/>
      <c r="G294" s="31"/>
      <c r="H294" s="31"/>
      <c r="I294" s="9"/>
      <c r="J294" s="23">
        <v>45572</v>
      </c>
      <c r="K294" s="22">
        <v>176</v>
      </c>
      <c r="L294" s="9" t="s">
        <v>205</v>
      </c>
      <c r="M294" s="9" t="s">
        <v>206</v>
      </c>
      <c r="N294" s="225" t="s">
        <v>224</v>
      </c>
    </row>
    <row r="295" spans="1:14" hidden="1" x14ac:dyDescent="0.25">
      <c r="A295" s="9">
        <v>103</v>
      </c>
      <c r="B295" s="12" t="s">
        <v>100</v>
      </c>
      <c r="C295" s="18" t="s">
        <v>78</v>
      </c>
      <c r="D295" s="19" t="s">
        <v>16</v>
      </c>
      <c r="E295" s="20"/>
      <c r="F295" s="9"/>
      <c r="G295" s="31"/>
      <c r="H295" s="31"/>
      <c r="I295" s="9"/>
      <c r="J295" s="23">
        <v>45572</v>
      </c>
      <c r="K295" s="22">
        <v>73</v>
      </c>
      <c r="L295" s="9" t="s">
        <v>205</v>
      </c>
      <c r="M295" s="9" t="s">
        <v>206</v>
      </c>
      <c r="N295" s="225" t="s">
        <v>224</v>
      </c>
    </row>
    <row r="296" spans="1:14" hidden="1" x14ac:dyDescent="0.25">
      <c r="A296" s="9">
        <v>104</v>
      </c>
      <c r="B296" s="12" t="s">
        <v>100</v>
      </c>
      <c r="C296" s="18" t="s">
        <v>78</v>
      </c>
      <c r="D296" s="19" t="s">
        <v>16</v>
      </c>
      <c r="E296" s="20"/>
      <c r="F296" s="9"/>
      <c r="G296" s="31"/>
      <c r="H296" s="31"/>
      <c r="I296" s="9"/>
      <c r="J296" s="23">
        <v>45572</v>
      </c>
      <c r="K296" s="22">
        <v>65</v>
      </c>
      <c r="L296" s="9" t="s">
        <v>205</v>
      </c>
      <c r="M296" s="9" t="s">
        <v>206</v>
      </c>
      <c r="N296" s="225" t="s">
        <v>224</v>
      </c>
    </row>
    <row r="297" spans="1:14" hidden="1" x14ac:dyDescent="0.25">
      <c r="A297" s="9">
        <v>105</v>
      </c>
      <c r="B297" s="12" t="s">
        <v>101</v>
      </c>
      <c r="C297" s="18" t="s">
        <v>78</v>
      </c>
      <c r="D297" s="19" t="s">
        <v>16</v>
      </c>
      <c r="E297" s="20"/>
      <c r="F297" s="9"/>
      <c r="G297" s="31"/>
      <c r="H297" s="31"/>
      <c r="I297" s="9"/>
      <c r="J297" s="23">
        <v>45572</v>
      </c>
      <c r="K297" s="22">
        <v>42</v>
      </c>
      <c r="L297" s="9" t="s">
        <v>205</v>
      </c>
      <c r="M297" s="9" t="s">
        <v>206</v>
      </c>
      <c r="N297" s="225" t="s">
        <v>224</v>
      </c>
    </row>
    <row r="298" spans="1:14" hidden="1" x14ac:dyDescent="0.25">
      <c r="A298" s="41">
        <v>144</v>
      </c>
      <c r="B298" s="42" t="s">
        <v>46</v>
      </c>
      <c r="C298" s="43" t="s">
        <v>156</v>
      </c>
      <c r="D298" s="19" t="s">
        <v>16</v>
      </c>
      <c r="E298" s="72"/>
      <c r="F298" s="32"/>
      <c r="G298" s="32"/>
      <c r="H298" s="36"/>
      <c r="I298" s="32"/>
      <c r="J298" s="23">
        <v>45572</v>
      </c>
      <c r="K298" s="22">
        <v>500</v>
      </c>
      <c r="L298" s="9" t="s">
        <v>205</v>
      </c>
      <c r="M298" s="9" t="s">
        <v>206</v>
      </c>
      <c r="N298" s="225" t="s">
        <v>224</v>
      </c>
    </row>
    <row r="299" spans="1:14" hidden="1" x14ac:dyDescent="0.25">
      <c r="A299" s="53">
        <v>99</v>
      </c>
      <c r="B299" s="52" t="s">
        <v>99</v>
      </c>
      <c r="C299" s="53" t="s">
        <v>98</v>
      </c>
      <c r="D299" s="53" t="s">
        <v>16</v>
      </c>
      <c r="E299" s="85"/>
      <c r="F299" s="53"/>
      <c r="G299" s="86"/>
      <c r="H299" s="86"/>
      <c r="I299" s="53"/>
      <c r="J299" s="170">
        <v>45574</v>
      </c>
      <c r="K299" s="171">
        <v>11</v>
      </c>
      <c r="L299" s="171" t="s">
        <v>205</v>
      </c>
      <c r="M299" s="32" t="s">
        <v>206</v>
      </c>
      <c r="N299" s="171" t="s">
        <v>224</v>
      </c>
    </row>
    <row r="300" spans="1:14" hidden="1" x14ac:dyDescent="0.25">
      <c r="A300" s="9">
        <v>53</v>
      </c>
      <c r="B300" s="12" t="s">
        <v>29</v>
      </c>
      <c r="C300" s="18" t="s">
        <v>30</v>
      </c>
      <c r="D300" s="19" t="s">
        <v>31</v>
      </c>
      <c r="E300" s="20"/>
      <c r="F300" s="9"/>
      <c r="G300" s="9"/>
      <c r="H300" s="9"/>
      <c r="I300" s="9"/>
      <c r="J300" s="13">
        <v>45571</v>
      </c>
      <c r="K300" s="9">
        <v>5</v>
      </c>
      <c r="L300" s="9" t="s">
        <v>205</v>
      </c>
      <c r="M300" s="32" t="s">
        <v>206</v>
      </c>
      <c r="N300" s="9" t="s">
        <v>224</v>
      </c>
    </row>
    <row r="301" spans="1:14" hidden="1" x14ac:dyDescent="0.25">
      <c r="A301" s="15" t="s">
        <v>32</v>
      </c>
      <c r="B301" s="16" t="s">
        <v>33</v>
      </c>
      <c r="C301" s="87" t="s">
        <v>34</v>
      </c>
      <c r="D301" s="19" t="s">
        <v>16</v>
      </c>
      <c r="E301" s="88"/>
      <c r="F301" s="15"/>
      <c r="G301" s="9"/>
      <c r="H301" s="9"/>
      <c r="I301" s="9"/>
      <c r="J301" s="13">
        <v>45576</v>
      </c>
      <c r="K301" s="9">
        <v>1</v>
      </c>
      <c r="L301" s="9" t="s">
        <v>212</v>
      </c>
      <c r="M301" s="9" t="s">
        <v>225</v>
      </c>
      <c r="N301" s="53" t="s">
        <v>197</v>
      </c>
    </row>
    <row r="302" spans="1:14" hidden="1" x14ac:dyDescent="0.25">
      <c r="A302" s="9">
        <v>45</v>
      </c>
      <c r="B302" s="12" t="s">
        <v>26</v>
      </c>
      <c r="C302" s="89" t="s">
        <v>27</v>
      </c>
      <c r="D302" s="19" t="s">
        <v>28</v>
      </c>
      <c r="E302" s="90"/>
      <c r="F302" s="9"/>
      <c r="G302" s="9"/>
      <c r="H302" s="9"/>
      <c r="I302" s="9"/>
      <c r="J302" s="13">
        <v>45541</v>
      </c>
      <c r="K302" s="9">
        <v>2</v>
      </c>
      <c r="L302" s="9" t="s">
        <v>223</v>
      </c>
      <c r="M302" s="9" t="s">
        <v>211</v>
      </c>
      <c r="N302" s="12"/>
    </row>
    <row r="303" spans="1:14" hidden="1" x14ac:dyDescent="0.25">
      <c r="A303" s="9">
        <v>51</v>
      </c>
      <c r="B303" s="12" t="s">
        <v>48</v>
      </c>
      <c r="C303" s="89" t="s">
        <v>49</v>
      </c>
      <c r="D303" s="70" t="s">
        <v>16</v>
      </c>
      <c r="E303" s="90"/>
      <c r="F303" s="9"/>
      <c r="G303" s="9"/>
      <c r="H303" s="9"/>
      <c r="I303" s="9"/>
      <c r="J303" s="13">
        <v>45581</v>
      </c>
      <c r="K303" s="9">
        <v>29</v>
      </c>
      <c r="L303" s="9" t="s">
        <v>205</v>
      </c>
      <c r="M303" s="32" t="s">
        <v>206</v>
      </c>
      <c r="N303" s="9" t="s">
        <v>226</v>
      </c>
    </row>
    <row r="304" spans="1:14" hidden="1" x14ac:dyDescent="0.25">
      <c r="A304" s="22">
        <v>130</v>
      </c>
      <c r="B304" s="12" t="s">
        <v>133</v>
      </c>
      <c r="C304" s="89" t="s">
        <v>134</v>
      </c>
      <c r="D304" s="19" t="s">
        <v>16</v>
      </c>
      <c r="E304" s="90"/>
      <c r="F304" s="9"/>
      <c r="G304" s="9"/>
      <c r="H304" s="31"/>
      <c r="I304" s="9"/>
      <c r="J304" s="13">
        <v>45581</v>
      </c>
      <c r="K304" s="9">
        <v>8</v>
      </c>
      <c r="L304" s="26" t="s">
        <v>205</v>
      </c>
      <c r="M304" s="32" t="s">
        <v>206</v>
      </c>
      <c r="N304" s="9" t="s">
        <v>226</v>
      </c>
    </row>
    <row r="305" spans="1:14" x14ac:dyDescent="0.25">
      <c r="A305" s="53" t="s">
        <v>35</v>
      </c>
      <c r="B305" s="52" t="s">
        <v>37</v>
      </c>
      <c r="C305" s="53" t="s">
        <v>38</v>
      </c>
      <c r="D305" s="19"/>
      <c r="E305" s="85"/>
      <c r="F305" s="53"/>
      <c r="G305" s="53"/>
      <c r="H305" s="53"/>
      <c r="I305" s="53"/>
      <c r="J305" s="85">
        <v>45581</v>
      </c>
      <c r="K305" s="53">
        <v>85</v>
      </c>
      <c r="L305" s="26" t="s">
        <v>205</v>
      </c>
      <c r="M305" s="32" t="s">
        <v>206</v>
      </c>
      <c r="N305" s="9" t="s">
        <v>227</v>
      </c>
    </row>
    <row r="306" spans="1:14" hidden="1" x14ac:dyDescent="0.25">
      <c r="A306" s="22">
        <v>141</v>
      </c>
      <c r="B306" s="12" t="s">
        <v>142</v>
      </c>
      <c r="C306" s="89" t="s">
        <v>143</v>
      </c>
      <c r="D306" s="19" t="s">
        <v>16</v>
      </c>
      <c r="E306" s="90"/>
      <c r="F306" s="9"/>
      <c r="G306" s="9"/>
      <c r="H306" s="31"/>
      <c r="I306" s="9"/>
      <c r="J306" s="13">
        <v>45581</v>
      </c>
      <c r="K306" s="9">
        <v>26</v>
      </c>
      <c r="L306" s="26" t="s">
        <v>205</v>
      </c>
      <c r="M306" s="32" t="s">
        <v>206</v>
      </c>
      <c r="N306" s="9" t="s">
        <v>227</v>
      </c>
    </row>
    <row r="307" spans="1:14" hidden="1" x14ac:dyDescent="0.25">
      <c r="A307" s="41">
        <v>24</v>
      </c>
      <c r="B307" s="92" t="s">
        <v>158</v>
      </c>
      <c r="C307" s="93" t="s">
        <v>159</v>
      </c>
      <c r="D307" s="34"/>
      <c r="E307" s="94"/>
      <c r="F307" s="32"/>
      <c r="G307" s="32"/>
      <c r="H307" s="36"/>
      <c r="I307" s="32"/>
      <c r="J307" s="73">
        <v>45581</v>
      </c>
      <c r="K307" s="32">
        <v>35</v>
      </c>
      <c r="L307" s="26" t="s">
        <v>205</v>
      </c>
      <c r="M307" s="32" t="s">
        <v>206</v>
      </c>
      <c r="N307" s="32" t="s">
        <v>227</v>
      </c>
    </row>
    <row r="308" spans="1:14" hidden="1" x14ac:dyDescent="0.25">
      <c r="A308" s="58">
        <v>196</v>
      </c>
      <c r="B308" s="52" t="s">
        <v>70</v>
      </c>
      <c r="C308" s="53" t="s">
        <v>177</v>
      </c>
      <c r="D308" s="26" t="s">
        <v>178</v>
      </c>
      <c r="E308" s="95"/>
      <c r="F308" s="58"/>
      <c r="G308" s="96"/>
      <c r="H308" s="96"/>
      <c r="I308" s="53"/>
      <c r="J308" s="95">
        <v>45581</v>
      </c>
      <c r="K308" s="58">
        <v>26</v>
      </c>
      <c r="L308" s="26" t="s">
        <v>205</v>
      </c>
      <c r="M308" s="32" t="s">
        <v>206</v>
      </c>
      <c r="N308" s="58" t="s">
        <v>227</v>
      </c>
    </row>
    <row r="309" spans="1:14" hidden="1" x14ac:dyDescent="0.25">
      <c r="A309" s="32">
        <v>105</v>
      </c>
      <c r="B309" s="42" t="s">
        <v>101</v>
      </c>
      <c r="C309" s="97" t="s">
        <v>78</v>
      </c>
      <c r="D309" s="53" t="s">
        <v>16</v>
      </c>
      <c r="E309" s="94"/>
      <c r="F309" s="32"/>
      <c r="G309" s="36"/>
      <c r="H309" s="36"/>
      <c r="I309" s="32"/>
      <c r="J309" s="190">
        <v>45589</v>
      </c>
      <c r="K309" s="41">
        <v>5</v>
      </c>
      <c r="L309" s="32" t="s">
        <v>205</v>
      </c>
      <c r="M309" s="32" t="s">
        <v>206</v>
      </c>
      <c r="N309" s="244" t="s">
        <v>228</v>
      </c>
    </row>
    <row r="310" spans="1:14" hidden="1" x14ac:dyDescent="0.25">
      <c r="A310" s="22">
        <v>142</v>
      </c>
      <c r="B310" s="12" t="s">
        <v>127</v>
      </c>
      <c r="C310" s="9" t="s">
        <v>128</v>
      </c>
      <c r="D310" s="9" t="s">
        <v>16</v>
      </c>
      <c r="E310" s="13"/>
      <c r="F310" s="9"/>
      <c r="G310" s="9"/>
      <c r="H310" s="31"/>
      <c r="I310" s="9"/>
      <c r="J310" s="13">
        <v>45603</v>
      </c>
      <c r="K310" s="9">
        <v>5</v>
      </c>
      <c r="L310" s="26" t="s">
        <v>205</v>
      </c>
      <c r="M310" s="32" t="s">
        <v>206</v>
      </c>
      <c r="N310" s="9" t="s">
        <v>222</v>
      </c>
    </row>
    <row r="311" spans="1:14" hidden="1" x14ac:dyDescent="0.25">
      <c r="A311" s="7">
        <v>105</v>
      </c>
      <c r="B311" s="8" t="s">
        <v>101</v>
      </c>
      <c r="C311" s="178" t="s">
        <v>78</v>
      </c>
      <c r="D311" s="70" t="s">
        <v>16</v>
      </c>
      <c r="E311" s="194"/>
      <c r="F311" s="7"/>
      <c r="G311" s="37"/>
      <c r="H311" s="37"/>
      <c r="I311" s="7"/>
      <c r="J311" s="11">
        <v>45603</v>
      </c>
      <c r="K311" s="7">
        <v>10</v>
      </c>
      <c r="L311" s="7" t="s">
        <v>205</v>
      </c>
      <c r="M311" s="7" t="s">
        <v>206</v>
      </c>
      <c r="N311" s="7" t="s">
        <v>222</v>
      </c>
    </row>
    <row r="312" spans="1:14" hidden="1" x14ac:dyDescent="0.25">
      <c r="A312" s="32">
        <v>45</v>
      </c>
      <c r="B312" s="42" t="s">
        <v>26</v>
      </c>
      <c r="C312" s="97" t="s">
        <v>27</v>
      </c>
      <c r="D312" s="19" t="s">
        <v>28</v>
      </c>
      <c r="E312" s="94"/>
      <c r="F312" s="32"/>
      <c r="G312" s="32"/>
      <c r="H312" s="32"/>
      <c r="I312" s="32"/>
      <c r="J312" s="119">
        <v>45541</v>
      </c>
      <c r="K312" s="67">
        <v>33</v>
      </c>
      <c r="L312" s="67" t="s">
        <v>212</v>
      </c>
      <c r="M312" s="67" t="s">
        <v>218</v>
      </c>
      <c r="N312" s="173"/>
    </row>
    <row r="313" spans="1:14" hidden="1" x14ac:dyDescent="0.25">
      <c r="A313" s="53">
        <v>99</v>
      </c>
      <c r="B313" s="52" t="s">
        <v>99</v>
      </c>
      <c r="C313" s="53" t="s">
        <v>98</v>
      </c>
      <c r="D313" s="53" t="s">
        <v>16</v>
      </c>
      <c r="E313" s="85"/>
      <c r="F313" s="53"/>
      <c r="G313" s="86"/>
      <c r="H313" s="86"/>
      <c r="I313" s="53"/>
      <c r="J313" s="85">
        <v>45608</v>
      </c>
      <c r="K313" s="53">
        <v>33</v>
      </c>
      <c r="L313" s="53" t="s">
        <v>212</v>
      </c>
      <c r="M313" s="53" t="s">
        <v>218</v>
      </c>
      <c r="N313" s="52"/>
    </row>
    <row r="314" spans="1:14" hidden="1" x14ac:dyDescent="0.25">
      <c r="A314" s="26" t="s">
        <v>187</v>
      </c>
      <c r="B314" s="55" t="s">
        <v>188</v>
      </c>
      <c r="C314" s="19" t="s">
        <v>189</v>
      </c>
      <c r="D314" s="26" t="s">
        <v>186</v>
      </c>
      <c r="E314" s="51"/>
      <c r="F314" s="26"/>
      <c r="G314" s="49"/>
      <c r="H314" s="26"/>
      <c r="I314" s="19"/>
      <c r="J314" s="51">
        <v>45615</v>
      </c>
      <c r="K314" s="26">
        <v>35</v>
      </c>
      <c r="L314" s="26" t="s">
        <v>212</v>
      </c>
      <c r="M314" s="19" t="s">
        <v>218</v>
      </c>
      <c r="N314" s="39"/>
    </row>
    <row r="315" spans="1:14" hidden="1" x14ac:dyDescent="0.25">
      <c r="A315" s="98">
        <v>69</v>
      </c>
      <c r="B315" s="99" t="s">
        <v>87</v>
      </c>
      <c r="C315" s="100" t="s">
        <v>88</v>
      </c>
      <c r="D315" s="19" t="s">
        <v>16</v>
      </c>
      <c r="E315" s="101"/>
      <c r="F315" s="102"/>
      <c r="G315" s="102"/>
      <c r="H315" s="102"/>
      <c r="I315" s="102"/>
      <c r="J315" s="103">
        <v>45623</v>
      </c>
      <c r="K315" s="102">
        <v>5</v>
      </c>
      <c r="L315" s="26" t="s">
        <v>205</v>
      </c>
      <c r="M315" s="9" t="s">
        <v>206</v>
      </c>
      <c r="N315" s="102" t="s">
        <v>229</v>
      </c>
    </row>
    <row r="316" spans="1:14" x14ac:dyDescent="0.25">
      <c r="A316" s="74">
        <v>131</v>
      </c>
      <c r="B316" s="42" t="s">
        <v>37</v>
      </c>
      <c r="C316" s="97" t="s">
        <v>38</v>
      </c>
      <c r="D316" s="26" t="s">
        <v>104</v>
      </c>
      <c r="E316" s="51"/>
      <c r="F316" s="26"/>
      <c r="G316" s="49"/>
      <c r="H316" s="49"/>
      <c r="I316" s="19"/>
      <c r="J316" s="51">
        <v>45635</v>
      </c>
      <c r="K316" s="26">
        <v>253</v>
      </c>
      <c r="L316" s="26" t="s">
        <v>205</v>
      </c>
      <c r="M316" s="9" t="s">
        <v>206</v>
      </c>
      <c r="N316" s="78" t="s">
        <v>197</v>
      </c>
    </row>
    <row r="317" spans="1:14" hidden="1" x14ac:dyDescent="0.25">
      <c r="A317" s="58">
        <v>182</v>
      </c>
      <c r="B317" s="57" t="s">
        <v>33</v>
      </c>
      <c r="C317" s="53" t="s">
        <v>34</v>
      </c>
      <c r="D317" s="105" t="s">
        <v>104</v>
      </c>
      <c r="E317" s="95"/>
      <c r="F317" s="58"/>
      <c r="G317" s="96"/>
      <c r="H317" s="96"/>
      <c r="I317" s="53"/>
      <c r="J317" s="95">
        <v>45635</v>
      </c>
      <c r="K317" s="58">
        <v>166</v>
      </c>
      <c r="L317" s="58" t="s">
        <v>205</v>
      </c>
      <c r="M317" s="9" t="s">
        <v>206</v>
      </c>
      <c r="N317" s="53" t="s">
        <v>197</v>
      </c>
    </row>
    <row r="318" spans="1:14" hidden="1" x14ac:dyDescent="0.25">
      <c r="A318" s="22">
        <v>122</v>
      </c>
      <c r="B318" s="12" t="s">
        <v>20</v>
      </c>
      <c r="C318" s="89" t="s">
        <v>129</v>
      </c>
      <c r="D318" s="19" t="s">
        <v>16</v>
      </c>
      <c r="E318" s="90"/>
      <c r="F318" s="9"/>
      <c r="G318" s="9"/>
      <c r="H318" s="31"/>
      <c r="I318" s="9"/>
      <c r="J318" s="13">
        <v>45635</v>
      </c>
      <c r="K318" s="9">
        <v>4</v>
      </c>
      <c r="L318" s="9" t="s">
        <v>205</v>
      </c>
      <c r="M318" s="9" t="s">
        <v>206</v>
      </c>
      <c r="N318" s="9" t="s">
        <v>197</v>
      </c>
    </row>
    <row r="319" spans="1:14" hidden="1" x14ac:dyDescent="0.25">
      <c r="A319" s="22">
        <v>137</v>
      </c>
      <c r="B319" s="12" t="s">
        <v>20</v>
      </c>
      <c r="C319" s="89" t="s">
        <v>129</v>
      </c>
      <c r="D319" s="19" t="s">
        <v>16</v>
      </c>
      <c r="E319" s="90"/>
      <c r="F319" s="9"/>
      <c r="G319" s="9"/>
      <c r="H319" s="31"/>
      <c r="I319" s="9"/>
      <c r="J319" s="73">
        <v>45635</v>
      </c>
      <c r="K319" s="32">
        <v>87</v>
      </c>
      <c r="L319" s="32" t="s">
        <v>205</v>
      </c>
      <c r="M319" s="9" t="s">
        <v>206</v>
      </c>
      <c r="N319" s="32" t="s">
        <v>197</v>
      </c>
    </row>
    <row r="320" spans="1:14" hidden="1" x14ac:dyDescent="0.25">
      <c r="A320" s="22">
        <v>140</v>
      </c>
      <c r="B320" s="12" t="s">
        <v>17</v>
      </c>
      <c r="C320" s="89" t="s">
        <v>18</v>
      </c>
      <c r="D320" s="19" t="s">
        <v>16</v>
      </c>
      <c r="E320" s="90"/>
      <c r="F320" s="9"/>
      <c r="G320" s="9"/>
      <c r="H320" s="31"/>
      <c r="I320" s="18"/>
      <c r="J320" s="84">
        <v>45635</v>
      </c>
      <c r="K320" s="19">
        <v>91</v>
      </c>
      <c r="L320" s="53" t="s">
        <v>205</v>
      </c>
      <c r="M320" s="9" t="s">
        <v>206</v>
      </c>
      <c r="N320" s="19" t="s">
        <v>197</v>
      </c>
    </row>
    <row r="321" spans="1:14" hidden="1" x14ac:dyDescent="0.25">
      <c r="A321" s="22">
        <v>136</v>
      </c>
      <c r="B321" s="12" t="s">
        <v>14</v>
      </c>
      <c r="C321" s="89" t="s">
        <v>122</v>
      </c>
      <c r="D321" s="70" t="s">
        <v>16</v>
      </c>
      <c r="E321" s="90"/>
      <c r="F321" s="9"/>
      <c r="G321" s="9"/>
      <c r="H321" s="31"/>
      <c r="I321" s="9"/>
      <c r="J321" s="11">
        <v>45635</v>
      </c>
      <c r="K321" s="7">
        <v>91</v>
      </c>
      <c r="L321" s="9" t="s">
        <v>205</v>
      </c>
      <c r="M321" s="9" t="s">
        <v>206</v>
      </c>
      <c r="N321" s="7" t="s">
        <v>197</v>
      </c>
    </row>
    <row r="322" spans="1:14" hidden="1" x14ac:dyDescent="0.25">
      <c r="A322" s="22">
        <v>161</v>
      </c>
      <c r="B322" s="12" t="s">
        <v>24</v>
      </c>
      <c r="C322" s="89" t="s">
        <v>25</v>
      </c>
      <c r="D322" s="19" t="s">
        <v>16</v>
      </c>
      <c r="E322" s="90"/>
      <c r="F322" s="9"/>
      <c r="G322" s="9"/>
      <c r="H322" s="9"/>
      <c r="I322" s="9"/>
      <c r="J322" s="13">
        <v>45635</v>
      </c>
      <c r="K322" s="9">
        <v>91</v>
      </c>
      <c r="L322" s="9" t="s">
        <v>205</v>
      </c>
      <c r="M322" s="9" t="s">
        <v>206</v>
      </c>
      <c r="N322" s="9" t="s">
        <v>197</v>
      </c>
    </row>
    <row r="323" spans="1:14" hidden="1" x14ac:dyDescent="0.25">
      <c r="A323" s="9">
        <v>108</v>
      </c>
      <c r="B323" s="12" t="s">
        <v>102</v>
      </c>
      <c r="C323" s="89" t="s">
        <v>103</v>
      </c>
      <c r="D323" s="19" t="s">
        <v>113</v>
      </c>
      <c r="E323" s="90"/>
      <c r="F323" s="9"/>
      <c r="G323" s="31"/>
      <c r="H323" s="31"/>
      <c r="I323" s="9"/>
      <c r="J323" s="13">
        <v>45635</v>
      </c>
      <c r="K323" s="9">
        <v>5</v>
      </c>
      <c r="L323" s="26" t="s">
        <v>205</v>
      </c>
      <c r="M323" s="9" t="s">
        <v>206</v>
      </c>
      <c r="N323" s="9" t="s">
        <v>230</v>
      </c>
    </row>
    <row r="324" spans="1:14" hidden="1" x14ac:dyDescent="0.25">
      <c r="A324" s="22">
        <v>130</v>
      </c>
      <c r="B324" s="12" t="s">
        <v>133</v>
      </c>
      <c r="C324" s="89" t="s">
        <v>134</v>
      </c>
      <c r="D324" s="19" t="s">
        <v>16</v>
      </c>
      <c r="E324" s="90"/>
      <c r="F324" s="9"/>
      <c r="G324" s="9"/>
      <c r="H324" s="31"/>
      <c r="I324" s="9"/>
      <c r="J324" s="13">
        <v>45635</v>
      </c>
      <c r="K324" s="9">
        <v>5</v>
      </c>
      <c r="L324" s="26" t="s">
        <v>205</v>
      </c>
      <c r="M324" s="9" t="s">
        <v>206</v>
      </c>
      <c r="N324" s="9" t="s">
        <v>230</v>
      </c>
    </row>
    <row r="325" spans="1:14" hidden="1" x14ac:dyDescent="0.25">
      <c r="A325" s="9">
        <v>215</v>
      </c>
      <c r="B325" s="12" t="s">
        <v>84</v>
      </c>
      <c r="C325" s="89" t="s">
        <v>85</v>
      </c>
      <c r="D325" s="26" t="s">
        <v>104</v>
      </c>
      <c r="E325" s="106"/>
      <c r="F325" s="22"/>
      <c r="G325" s="22"/>
      <c r="H325" s="22"/>
      <c r="I325" s="9"/>
      <c r="J325" s="73">
        <v>45635</v>
      </c>
      <c r="K325" s="32">
        <v>10</v>
      </c>
      <c r="L325" s="26" t="s">
        <v>205</v>
      </c>
      <c r="M325" s="9" t="s">
        <v>206</v>
      </c>
      <c r="N325" s="32" t="s">
        <v>230</v>
      </c>
    </row>
    <row r="326" spans="1:14" hidden="1" x14ac:dyDescent="0.25">
      <c r="A326" s="9">
        <v>105</v>
      </c>
      <c r="B326" s="12" t="s">
        <v>101</v>
      </c>
      <c r="C326" s="89" t="s">
        <v>78</v>
      </c>
      <c r="D326" s="19" t="s">
        <v>16</v>
      </c>
      <c r="E326" s="90"/>
      <c r="F326" s="9"/>
      <c r="G326" s="31"/>
      <c r="H326" s="31"/>
      <c r="I326" s="9"/>
      <c r="J326" s="13">
        <v>45642</v>
      </c>
      <c r="K326" s="9">
        <v>2</v>
      </c>
      <c r="L326" s="9" t="s">
        <v>205</v>
      </c>
      <c r="M326" s="9" t="s">
        <v>206</v>
      </c>
      <c r="N326" s="9" t="s">
        <v>231</v>
      </c>
    </row>
    <row r="327" spans="1:14" hidden="1" x14ac:dyDescent="0.25">
      <c r="A327" s="41">
        <v>130</v>
      </c>
      <c r="B327" s="42" t="s">
        <v>133</v>
      </c>
      <c r="C327" s="97" t="s">
        <v>134</v>
      </c>
      <c r="D327" s="19" t="s">
        <v>16</v>
      </c>
      <c r="E327" s="94"/>
      <c r="F327" s="32"/>
      <c r="G327" s="32"/>
      <c r="H327" s="36"/>
      <c r="I327" s="32"/>
      <c r="J327" s="119">
        <v>45642</v>
      </c>
      <c r="K327" s="67">
        <v>2</v>
      </c>
      <c r="L327" s="26" t="s">
        <v>205</v>
      </c>
      <c r="M327" s="7" t="s">
        <v>206</v>
      </c>
      <c r="N327" s="67" t="s">
        <v>231</v>
      </c>
    </row>
    <row r="328" spans="1:14" hidden="1" x14ac:dyDescent="0.25">
      <c r="A328" s="98">
        <v>69</v>
      </c>
      <c r="B328" s="99" t="s">
        <v>87</v>
      </c>
      <c r="C328" s="100" t="s">
        <v>88</v>
      </c>
      <c r="D328" s="19" t="s">
        <v>16</v>
      </c>
      <c r="E328" s="101"/>
      <c r="F328" s="102"/>
      <c r="G328" s="102"/>
      <c r="H328" s="102"/>
      <c r="I328" s="102"/>
      <c r="J328" s="103">
        <v>45649</v>
      </c>
      <c r="K328" s="102">
        <v>10</v>
      </c>
      <c r="L328" s="26" t="s">
        <v>205</v>
      </c>
      <c r="M328" s="7" t="s">
        <v>206</v>
      </c>
      <c r="N328" s="102" t="s">
        <v>232</v>
      </c>
    </row>
    <row r="329" spans="1:14" hidden="1" x14ac:dyDescent="0.25">
      <c r="A329" s="58" t="s">
        <v>187</v>
      </c>
      <c r="B329" s="52" t="s">
        <v>188</v>
      </c>
      <c r="C329" s="53" t="s">
        <v>189</v>
      </c>
      <c r="D329" s="58" t="s">
        <v>186</v>
      </c>
      <c r="E329" s="95"/>
      <c r="F329" s="58"/>
      <c r="G329" s="96"/>
      <c r="H329" s="58"/>
      <c r="I329" s="53"/>
      <c r="J329" s="95">
        <v>45649</v>
      </c>
      <c r="K329" s="58">
        <v>10</v>
      </c>
      <c r="L329" s="26" t="s">
        <v>205</v>
      </c>
      <c r="M329" s="7" t="s">
        <v>206</v>
      </c>
      <c r="N329" s="53" t="s">
        <v>232</v>
      </c>
    </row>
    <row r="330" spans="1:14" hidden="1" x14ac:dyDescent="0.25">
      <c r="A330" s="22">
        <v>142</v>
      </c>
      <c r="B330" s="12" t="s">
        <v>127</v>
      </c>
      <c r="C330" s="9" t="s">
        <v>128</v>
      </c>
      <c r="D330" s="9" t="s">
        <v>16</v>
      </c>
      <c r="E330" s="13"/>
      <c r="F330" s="9"/>
      <c r="G330" s="9"/>
      <c r="H330" s="31"/>
      <c r="I330" s="9"/>
      <c r="J330" s="13">
        <v>45649</v>
      </c>
      <c r="K330" s="9">
        <v>6</v>
      </c>
      <c r="L330" s="26" t="s">
        <v>205</v>
      </c>
      <c r="M330" s="7" t="s">
        <v>206</v>
      </c>
      <c r="N330" s="9" t="s">
        <v>233</v>
      </c>
    </row>
    <row r="331" spans="1:14" hidden="1" x14ac:dyDescent="0.25">
      <c r="A331" s="7">
        <v>105</v>
      </c>
      <c r="B331" s="8" t="s">
        <v>101</v>
      </c>
      <c r="C331" s="178" t="s">
        <v>78</v>
      </c>
      <c r="D331" s="70" t="s">
        <v>16</v>
      </c>
      <c r="E331" s="194"/>
      <c r="F331" s="7"/>
      <c r="G331" s="37"/>
      <c r="H331" s="37"/>
      <c r="I331" s="7"/>
      <c r="J331" s="11">
        <v>45649</v>
      </c>
      <c r="K331" s="7">
        <v>12</v>
      </c>
      <c r="L331" s="7" t="s">
        <v>205</v>
      </c>
      <c r="M331" s="7" t="s">
        <v>206</v>
      </c>
      <c r="N331" s="7" t="s">
        <v>233</v>
      </c>
    </row>
    <row r="332" spans="1:14" hidden="1" x14ac:dyDescent="0.25">
      <c r="A332" s="58" t="s">
        <v>187</v>
      </c>
      <c r="B332" s="52" t="s">
        <v>188</v>
      </c>
      <c r="C332" s="53" t="s">
        <v>189</v>
      </c>
      <c r="D332" s="26" t="s">
        <v>186</v>
      </c>
      <c r="E332" s="95"/>
      <c r="F332" s="58"/>
      <c r="G332" s="96"/>
      <c r="H332" s="58"/>
      <c r="I332" s="53"/>
      <c r="J332" s="174">
        <v>45666</v>
      </c>
      <c r="K332" s="105">
        <v>5</v>
      </c>
      <c r="L332" s="26" t="s">
        <v>205</v>
      </c>
      <c r="M332" s="171" t="s">
        <v>234</v>
      </c>
      <c r="N332" s="83"/>
    </row>
    <row r="333" spans="1:14" hidden="1" x14ac:dyDescent="0.25">
      <c r="A333" s="53">
        <v>99</v>
      </c>
      <c r="B333" s="52" t="s">
        <v>99</v>
      </c>
      <c r="C333" s="53" t="s">
        <v>98</v>
      </c>
      <c r="D333" s="53" t="s">
        <v>16</v>
      </c>
      <c r="E333" s="85"/>
      <c r="F333" s="53"/>
      <c r="G333" s="86"/>
      <c r="H333" s="86"/>
      <c r="I333" s="53"/>
      <c r="J333" s="85">
        <v>45670</v>
      </c>
      <c r="K333" s="53">
        <v>5</v>
      </c>
      <c r="L333" s="107" t="s">
        <v>235</v>
      </c>
      <c r="M333" s="9" t="s">
        <v>199</v>
      </c>
      <c r="N333" s="108" t="s">
        <v>236</v>
      </c>
    </row>
    <row r="334" spans="1:14" hidden="1" x14ac:dyDescent="0.25">
      <c r="A334" s="22">
        <v>128</v>
      </c>
      <c r="B334" s="12" t="s">
        <v>135</v>
      </c>
      <c r="C334" s="89" t="s">
        <v>136</v>
      </c>
      <c r="D334" s="19" t="s">
        <v>16</v>
      </c>
      <c r="E334" s="90"/>
      <c r="F334" s="9"/>
      <c r="G334" s="9"/>
      <c r="H334" s="31"/>
      <c r="I334" s="9"/>
      <c r="J334" s="13">
        <v>45670</v>
      </c>
      <c r="K334" s="9">
        <v>5</v>
      </c>
      <c r="L334" s="9" t="s">
        <v>235</v>
      </c>
      <c r="M334" s="32" t="s">
        <v>199</v>
      </c>
      <c r="N334" s="108" t="s">
        <v>236</v>
      </c>
    </row>
    <row r="335" spans="1:14" hidden="1" x14ac:dyDescent="0.25">
      <c r="A335" s="22">
        <v>129</v>
      </c>
      <c r="B335" s="12" t="s">
        <v>68</v>
      </c>
      <c r="C335" s="89" t="s">
        <v>69</v>
      </c>
      <c r="D335" s="19" t="s">
        <v>16</v>
      </c>
      <c r="E335" s="90"/>
      <c r="F335" s="9"/>
      <c r="G335" s="9"/>
      <c r="H335" s="31"/>
      <c r="I335" s="9"/>
      <c r="J335" s="23">
        <v>45670</v>
      </c>
      <c r="K335" s="9">
        <v>2</v>
      </c>
      <c r="L335" s="18" t="s">
        <v>235</v>
      </c>
      <c r="M335" s="22" t="s">
        <v>199</v>
      </c>
      <c r="N335" s="108" t="s">
        <v>236</v>
      </c>
    </row>
    <row r="336" spans="1:14" hidden="1" x14ac:dyDescent="0.25">
      <c r="A336" s="41">
        <v>130</v>
      </c>
      <c r="B336" s="42" t="s">
        <v>133</v>
      </c>
      <c r="C336" s="97" t="s">
        <v>134</v>
      </c>
      <c r="D336" s="19" t="s">
        <v>16</v>
      </c>
      <c r="E336" s="94"/>
      <c r="F336" s="32"/>
      <c r="G336" s="32"/>
      <c r="H336" s="36"/>
      <c r="I336" s="32"/>
      <c r="J336" s="73">
        <v>45670</v>
      </c>
      <c r="K336" s="32">
        <v>2</v>
      </c>
      <c r="L336" s="32" t="s">
        <v>235</v>
      </c>
      <c r="M336" s="67" t="s">
        <v>199</v>
      </c>
      <c r="N336" s="108" t="s">
        <v>236</v>
      </c>
    </row>
    <row r="337" spans="1:14" hidden="1" x14ac:dyDescent="0.25">
      <c r="A337" s="9">
        <v>54</v>
      </c>
      <c r="B337" s="12" t="s">
        <v>84</v>
      </c>
      <c r="C337" s="89" t="s">
        <v>85</v>
      </c>
      <c r="D337" s="19" t="s">
        <v>16</v>
      </c>
      <c r="E337" s="106"/>
      <c r="F337" s="22"/>
      <c r="G337" s="22"/>
      <c r="H337" s="22"/>
      <c r="I337" s="9"/>
      <c r="J337" s="13">
        <v>45670</v>
      </c>
      <c r="K337" s="9">
        <v>2</v>
      </c>
      <c r="L337" s="9" t="s">
        <v>235</v>
      </c>
      <c r="M337" s="9" t="s">
        <v>199</v>
      </c>
      <c r="N337" s="109" t="s">
        <v>236</v>
      </c>
    </row>
    <row r="338" spans="1:14" hidden="1" x14ac:dyDescent="0.25">
      <c r="A338" s="9" t="s">
        <v>35</v>
      </c>
      <c r="B338" s="16" t="s">
        <v>33</v>
      </c>
      <c r="C338" s="89" t="s">
        <v>36</v>
      </c>
      <c r="D338" s="19"/>
      <c r="E338" s="90"/>
      <c r="F338" s="9"/>
      <c r="G338" s="9"/>
      <c r="H338" s="9"/>
      <c r="I338" s="9"/>
      <c r="J338" s="13">
        <v>45670</v>
      </c>
      <c r="K338" s="9">
        <v>5</v>
      </c>
      <c r="L338" s="9" t="s">
        <v>235</v>
      </c>
      <c r="M338" s="9" t="s">
        <v>199</v>
      </c>
      <c r="N338" s="108" t="s">
        <v>236</v>
      </c>
    </row>
    <row r="339" spans="1:14" x14ac:dyDescent="0.25">
      <c r="A339" s="9">
        <v>90</v>
      </c>
      <c r="B339" s="12" t="s">
        <v>37</v>
      </c>
      <c r="C339" s="89" t="s">
        <v>79</v>
      </c>
      <c r="D339" s="19" t="s">
        <v>16</v>
      </c>
      <c r="E339" s="106"/>
      <c r="F339" s="22"/>
      <c r="G339" s="22"/>
      <c r="H339" s="22"/>
      <c r="I339" s="9"/>
      <c r="J339" s="13">
        <v>45670</v>
      </c>
      <c r="K339" s="9">
        <v>4</v>
      </c>
      <c r="L339" s="9" t="s">
        <v>235</v>
      </c>
      <c r="M339" s="9" t="s">
        <v>199</v>
      </c>
      <c r="N339" s="109" t="s">
        <v>236</v>
      </c>
    </row>
    <row r="340" spans="1:14" hidden="1" x14ac:dyDescent="0.25">
      <c r="A340" s="9">
        <v>83</v>
      </c>
      <c r="B340" s="12" t="s">
        <v>82</v>
      </c>
      <c r="C340" s="89" t="s">
        <v>83</v>
      </c>
      <c r="D340" s="19" t="s">
        <v>16</v>
      </c>
      <c r="E340" s="106"/>
      <c r="F340" s="22"/>
      <c r="G340" s="22"/>
      <c r="H340" s="22"/>
      <c r="I340" s="9"/>
      <c r="J340" s="73">
        <v>45670</v>
      </c>
      <c r="K340" s="32">
        <v>3</v>
      </c>
      <c r="L340" s="32" t="s">
        <v>235</v>
      </c>
      <c r="M340" s="32" t="s">
        <v>199</v>
      </c>
      <c r="N340" s="109" t="s">
        <v>236</v>
      </c>
    </row>
    <row r="341" spans="1:14" hidden="1" x14ac:dyDescent="0.25">
      <c r="A341" s="9">
        <v>105</v>
      </c>
      <c r="B341" s="12" t="s">
        <v>101</v>
      </c>
      <c r="C341" s="89" t="s">
        <v>78</v>
      </c>
      <c r="D341" s="19" t="s">
        <v>16</v>
      </c>
      <c r="E341" s="90"/>
      <c r="F341" s="9"/>
      <c r="G341" s="31"/>
      <c r="H341" s="31"/>
      <c r="I341" s="9"/>
      <c r="J341" s="13">
        <v>45672</v>
      </c>
      <c r="K341" s="9">
        <v>11</v>
      </c>
      <c r="L341" s="9" t="s">
        <v>205</v>
      </c>
      <c r="M341" s="9" t="s">
        <v>206</v>
      </c>
      <c r="N341" s="9" t="s">
        <v>219</v>
      </c>
    </row>
    <row r="342" spans="1:14" hidden="1" x14ac:dyDescent="0.25">
      <c r="A342" s="41">
        <v>144</v>
      </c>
      <c r="B342" s="42" t="s">
        <v>46</v>
      </c>
      <c r="C342" s="97" t="s">
        <v>156</v>
      </c>
      <c r="D342" s="53" t="s">
        <v>16</v>
      </c>
      <c r="E342" s="94"/>
      <c r="F342" s="32"/>
      <c r="G342" s="32"/>
      <c r="H342" s="36"/>
      <c r="I342" s="32"/>
      <c r="J342" s="190">
        <v>45672</v>
      </c>
      <c r="K342" s="41">
        <v>10</v>
      </c>
      <c r="L342" s="32" t="s">
        <v>205</v>
      </c>
      <c r="M342" s="32" t="s">
        <v>206</v>
      </c>
      <c r="N342" s="191" t="s">
        <v>219</v>
      </c>
    </row>
    <row r="343" spans="1:14" hidden="1" x14ac:dyDescent="0.25">
      <c r="A343" s="9">
        <v>69</v>
      </c>
      <c r="B343" s="12" t="s">
        <v>87</v>
      </c>
      <c r="C343" s="9" t="s">
        <v>88</v>
      </c>
      <c r="D343" s="9" t="s">
        <v>16</v>
      </c>
      <c r="E343" s="13"/>
      <c r="F343" s="9"/>
      <c r="G343" s="9"/>
      <c r="H343" s="9"/>
      <c r="I343" s="9"/>
      <c r="J343" s="13">
        <v>45673</v>
      </c>
      <c r="K343" s="9">
        <v>3</v>
      </c>
      <c r="L343" s="9" t="s">
        <v>212</v>
      </c>
      <c r="M343" s="9" t="s">
        <v>237</v>
      </c>
      <c r="N343" s="12"/>
    </row>
    <row r="344" spans="1:14" hidden="1" x14ac:dyDescent="0.25">
      <c r="A344" s="28">
        <v>127</v>
      </c>
      <c r="B344" s="8" t="s">
        <v>48</v>
      </c>
      <c r="C344" s="193" t="s">
        <v>77</v>
      </c>
      <c r="D344" s="70" t="s">
        <v>16</v>
      </c>
      <c r="E344" s="194"/>
      <c r="F344" s="7"/>
      <c r="G344" s="7"/>
      <c r="H344" s="37"/>
      <c r="I344" s="7"/>
      <c r="J344" s="11">
        <v>45673</v>
      </c>
      <c r="K344" s="7">
        <v>3</v>
      </c>
      <c r="L344" s="9" t="s">
        <v>212</v>
      </c>
      <c r="M344" s="67" t="s">
        <v>237</v>
      </c>
      <c r="N344" s="8"/>
    </row>
    <row r="345" spans="1:14" hidden="1" x14ac:dyDescent="0.25">
      <c r="A345" s="22" t="s">
        <v>148</v>
      </c>
      <c r="B345" s="12" t="s">
        <v>150</v>
      </c>
      <c r="C345" s="89" t="s">
        <v>151</v>
      </c>
      <c r="D345" s="34"/>
      <c r="E345" s="90"/>
      <c r="F345" s="9"/>
      <c r="G345" s="9"/>
      <c r="H345" s="31"/>
      <c r="I345" s="9"/>
      <c r="J345" s="13">
        <v>45673</v>
      </c>
      <c r="K345" s="9">
        <v>3</v>
      </c>
      <c r="L345" s="9" t="s">
        <v>212</v>
      </c>
      <c r="M345" s="111" t="s">
        <v>237</v>
      </c>
      <c r="N345" s="12"/>
    </row>
    <row r="346" spans="1:14" hidden="1" x14ac:dyDescent="0.25">
      <c r="A346" s="22">
        <v>152</v>
      </c>
      <c r="B346" s="12" t="s">
        <v>154</v>
      </c>
      <c r="C346" s="89" t="s">
        <v>155</v>
      </c>
      <c r="D346" s="19" t="s">
        <v>16</v>
      </c>
      <c r="E346" s="90">
        <v>45281</v>
      </c>
      <c r="F346" s="9"/>
      <c r="G346" s="9"/>
      <c r="H346" s="31"/>
      <c r="I346" s="9"/>
      <c r="J346" s="13">
        <v>45673</v>
      </c>
      <c r="K346" s="9">
        <v>3</v>
      </c>
      <c r="L346" s="9" t="s">
        <v>212</v>
      </c>
      <c r="M346" s="111" t="s">
        <v>237</v>
      </c>
      <c r="N346" s="12"/>
    </row>
    <row r="347" spans="1:14" hidden="1" x14ac:dyDescent="0.25">
      <c r="A347" s="22">
        <v>141</v>
      </c>
      <c r="B347" s="12" t="s">
        <v>142</v>
      </c>
      <c r="C347" s="89" t="s">
        <v>143</v>
      </c>
      <c r="D347" s="19" t="s">
        <v>16</v>
      </c>
      <c r="E347" s="90"/>
      <c r="F347" s="9"/>
      <c r="G347" s="9"/>
      <c r="H347" s="31"/>
      <c r="I347" s="9"/>
      <c r="J347" s="13">
        <v>45673</v>
      </c>
      <c r="K347" s="9">
        <v>3</v>
      </c>
      <c r="L347" s="9" t="s">
        <v>212</v>
      </c>
      <c r="M347" s="67" t="s">
        <v>237</v>
      </c>
      <c r="N347" s="12"/>
    </row>
    <row r="348" spans="1:14" hidden="1" x14ac:dyDescent="0.25">
      <c r="A348" s="22">
        <v>129</v>
      </c>
      <c r="B348" s="12" t="s">
        <v>68</v>
      </c>
      <c r="C348" s="89" t="s">
        <v>69</v>
      </c>
      <c r="D348" s="19" t="s">
        <v>16</v>
      </c>
      <c r="E348" s="90"/>
      <c r="F348" s="9"/>
      <c r="G348" s="9"/>
      <c r="H348" s="31"/>
      <c r="I348" s="9"/>
      <c r="J348" s="13">
        <v>45673</v>
      </c>
      <c r="K348" s="9">
        <v>3</v>
      </c>
      <c r="L348" s="9" t="s">
        <v>212</v>
      </c>
      <c r="M348" s="9" t="s">
        <v>237</v>
      </c>
      <c r="N348" s="21"/>
    </row>
    <row r="349" spans="1:14" hidden="1" x14ac:dyDescent="0.25">
      <c r="A349" s="9">
        <v>83</v>
      </c>
      <c r="B349" s="12" t="s">
        <v>82</v>
      </c>
      <c r="C349" s="89" t="s">
        <v>83</v>
      </c>
      <c r="D349" s="19" t="s">
        <v>16</v>
      </c>
      <c r="E349" s="106"/>
      <c r="F349" s="22"/>
      <c r="G349" s="22"/>
      <c r="H349" s="22"/>
      <c r="I349" s="9"/>
      <c r="J349" s="73">
        <v>45673</v>
      </c>
      <c r="K349" s="32">
        <v>4</v>
      </c>
      <c r="L349" s="9" t="s">
        <v>212</v>
      </c>
      <c r="M349" s="7" t="s">
        <v>237</v>
      </c>
      <c r="N349" s="169"/>
    </row>
    <row r="350" spans="1:14" hidden="1" x14ac:dyDescent="0.25">
      <c r="A350" s="41">
        <v>144</v>
      </c>
      <c r="B350" s="42" t="s">
        <v>46</v>
      </c>
      <c r="C350" s="97" t="s">
        <v>156</v>
      </c>
      <c r="D350" s="19" t="s">
        <v>16</v>
      </c>
      <c r="E350" s="94"/>
      <c r="F350" s="32"/>
      <c r="G350" s="32"/>
      <c r="H350" s="36"/>
      <c r="I350" s="32"/>
      <c r="J350" s="23">
        <v>45673</v>
      </c>
      <c r="K350" s="22">
        <v>3</v>
      </c>
      <c r="L350" s="9" t="s">
        <v>212</v>
      </c>
      <c r="M350" s="9" t="s">
        <v>237</v>
      </c>
      <c r="N350" s="176"/>
    </row>
    <row r="351" spans="1:14" hidden="1" x14ac:dyDescent="0.25">
      <c r="A351" s="41">
        <v>130</v>
      </c>
      <c r="B351" s="42" t="s">
        <v>133</v>
      </c>
      <c r="C351" s="97" t="s">
        <v>134</v>
      </c>
      <c r="D351" s="19" t="s">
        <v>16</v>
      </c>
      <c r="E351" s="94"/>
      <c r="F351" s="32"/>
      <c r="G351" s="32"/>
      <c r="H351" s="36"/>
      <c r="I351" s="32"/>
      <c r="J351" s="119">
        <v>45673</v>
      </c>
      <c r="K351" s="67">
        <v>3</v>
      </c>
      <c r="L351" s="9" t="s">
        <v>212</v>
      </c>
      <c r="M351" s="67" t="s">
        <v>237</v>
      </c>
      <c r="N351" s="175"/>
    </row>
    <row r="352" spans="1:14" hidden="1" x14ac:dyDescent="0.25">
      <c r="A352" s="22">
        <v>128</v>
      </c>
      <c r="B352" s="12" t="s">
        <v>135</v>
      </c>
      <c r="C352" s="89" t="s">
        <v>136</v>
      </c>
      <c r="D352" s="19" t="s">
        <v>16</v>
      </c>
      <c r="E352" s="90"/>
      <c r="F352" s="9"/>
      <c r="G352" s="9"/>
      <c r="H352" s="31"/>
      <c r="I352" s="9"/>
      <c r="J352" s="13">
        <v>45673</v>
      </c>
      <c r="K352" s="9">
        <v>3</v>
      </c>
      <c r="L352" s="9" t="s">
        <v>212</v>
      </c>
      <c r="M352" s="9" t="s">
        <v>237</v>
      </c>
      <c r="N352" s="112"/>
    </row>
    <row r="353" spans="1:14" hidden="1" x14ac:dyDescent="0.25">
      <c r="A353" s="41">
        <v>134</v>
      </c>
      <c r="B353" s="42" t="s">
        <v>125</v>
      </c>
      <c r="C353" s="97" t="s">
        <v>126</v>
      </c>
      <c r="D353" s="19" t="s">
        <v>16</v>
      </c>
      <c r="E353" s="94"/>
      <c r="F353" s="32"/>
      <c r="G353" s="32"/>
      <c r="H353" s="36"/>
      <c r="I353" s="32"/>
      <c r="J353" s="73">
        <v>45673</v>
      </c>
      <c r="K353" s="32">
        <v>3</v>
      </c>
      <c r="L353" s="9" t="s">
        <v>212</v>
      </c>
      <c r="M353" s="32" t="s">
        <v>237</v>
      </c>
      <c r="N353" s="42"/>
    </row>
    <row r="354" spans="1:14" hidden="1" x14ac:dyDescent="0.25">
      <c r="A354" s="26">
        <v>210</v>
      </c>
      <c r="B354" s="55" t="s">
        <v>193</v>
      </c>
      <c r="C354" s="19" t="s">
        <v>130</v>
      </c>
      <c r="D354" s="19" t="s">
        <v>16</v>
      </c>
      <c r="E354" s="51">
        <v>45651</v>
      </c>
      <c r="F354" s="26"/>
      <c r="G354" s="49"/>
      <c r="H354" s="26"/>
      <c r="I354" s="19"/>
      <c r="J354" s="95">
        <v>45673</v>
      </c>
      <c r="K354" s="26">
        <v>3</v>
      </c>
      <c r="L354" s="9" t="s">
        <v>212</v>
      </c>
      <c r="M354" s="58" t="s">
        <v>237</v>
      </c>
      <c r="N354" s="39"/>
    </row>
    <row r="355" spans="1:14" hidden="1" x14ac:dyDescent="0.25">
      <c r="A355" s="58">
        <v>183</v>
      </c>
      <c r="B355" s="52" t="s">
        <v>102</v>
      </c>
      <c r="C355" s="53" t="s">
        <v>171</v>
      </c>
      <c r="D355" s="26" t="s">
        <v>104</v>
      </c>
      <c r="E355" s="95"/>
      <c r="F355" s="58"/>
      <c r="G355" s="96"/>
      <c r="H355" s="96"/>
      <c r="I355" s="107"/>
      <c r="J355" s="13">
        <v>45679</v>
      </c>
      <c r="K355" s="114">
        <v>5</v>
      </c>
      <c r="L355" s="26" t="s">
        <v>205</v>
      </c>
      <c r="M355" s="26" t="s">
        <v>206</v>
      </c>
      <c r="N355" s="9" t="s">
        <v>230</v>
      </c>
    </row>
    <row r="356" spans="1:14" hidden="1" x14ac:dyDescent="0.25">
      <c r="A356" s="41">
        <v>130</v>
      </c>
      <c r="B356" s="42" t="s">
        <v>133</v>
      </c>
      <c r="C356" s="97" t="s">
        <v>134</v>
      </c>
      <c r="D356" s="19" t="s">
        <v>16</v>
      </c>
      <c r="E356" s="94"/>
      <c r="F356" s="32"/>
      <c r="G356" s="32"/>
      <c r="H356" s="36"/>
      <c r="I356" s="32"/>
      <c r="J356" s="13">
        <v>45679</v>
      </c>
      <c r="K356" s="32">
        <v>5</v>
      </c>
      <c r="L356" s="26" t="s">
        <v>205</v>
      </c>
      <c r="M356" s="26" t="s">
        <v>206</v>
      </c>
      <c r="N356" s="32" t="s">
        <v>230</v>
      </c>
    </row>
    <row r="357" spans="1:14" hidden="1" x14ac:dyDescent="0.25">
      <c r="A357" s="58">
        <v>182</v>
      </c>
      <c r="B357" s="57" t="s">
        <v>33</v>
      </c>
      <c r="C357" s="53" t="s">
        <v>34</v>
      </c>
      <c r="D357" s="105" t="s">
        <v>104</v>
      </c>
      <c r="E357" s="95"/>
      <c r="F357" s="58"/>
      <c r="G357" s="96"/>
      <c r="H357" s="96"/>
      <c r="I357" s="107"/>
      <c r="J357" s="13">
        <v>45679</v>
      </c>
      <c r="K357" s="115">
        <v>9</v>
      </c>
      <c r="L357" s="58" t="s">
        <v>205</v>
      </c>
      <c r="M357" s="26" t="s">
        <v>206</v>
      </c>
      <c r="N357" s="53" t="s">
        <v>197</v>
      </c>
    </row>
    <row r="358" spans="1:14" hidden="1" x14ac:dyDescent="0.25">
      <c r="A358" s="22" t="s">
        <v>35</v>
      </c>
      <c r="B358" s="12" t="s">
        <v>48</v>
      </c>
      <c r="C358" s="22" t="s">
        <v>77</v>
      </c>
      <c r="D358" s="116"/>
      <c r="E358" s="23"/>
      <c r="F358" s="22"/>
      <c r="G358" s="22"/>
      <c r="H358" s="22"/>
      <c r="I358" s="9"/>
      <c r="J358" s="117">
        <v>45679</v>
      </c>
      <c r="K358" s="22">
        <v>20</v>
      </c>
      <c r="L358" s="26" t="s">
        <v>205</v>
      </c>
      <c r="M358" s="26" t="s">
        <v>206</v>
      </c>
      <c r="N358" s="22" t="s">
        <v>230</v>
      </c>
    </row>
    <row r="359" spans="1:14" x14ac:dyDescent="0.25">
      <c r="A359" s="9">
        <v>180</v>
      </c>
      <c r="B359" s="12" t="s">
        <v>37</v>
      </c>
      <c r="C359" s="89" t="s">
        <v>38</v>
      </c>
      <c r="D359" s="26" t="s">
        <v>104</v>
      </c>
      <c r="E359" s="90"/>
      <c r="F359" s="9"/>
      <c r="G359" s="9"/>
      <c r="H359" s="9"/>
      <c r="I359" s="9"/>
      <c r="J359" s="13">
        <v>45679</v>
      </c>
      <c r="K359" s="9">
        <v>43</v>
      </c>
      <c r="L359" s="26" t="s">
        <v>205</v>
      </c>
      <c r="M359" s="26" t="s">
        <v>206</v>
      </c>
      <c r="N359" s="9" t="s">
        <v>230</v>
      </c>
    </row>
    <row r="360" spans="1:14" hidden="1" x14ac:dyDescent="0.25">
      <c r="A360" s="9">
        <v>215</v>
      </c>
      <c r="B360" s="12" t="s">
        <v>84</v>
      </c>
      <c r="C360" s="89" t="s">
        <v>85</v>
      </c>
      <c r="D360" s="26" t="s">
        <v>104</v>
      </c>
      <c r="E360" s="106"/>
      <c r="F360" s="22"/>
      <c r="G360" s="22"/>
      <c r="H360" s="22"/>
      <c r="I360" s="9"/>
      <c r="J360" s="13">
        <v>45679</v>
      </c>
      <c r="K360" s="9">
        <v>11</v>
      </c>
      <c r="L360" s="26" t="s">
        <v>205</v>
      </c>
      <c r="M360" s="26" t="s">
        <v>206</v>
      </c>
      <c r="N360" s="9" t="s">
        <v>230</v>
      </c>
    </row>
    <row r="361" spans="1:14" hidden="1" x14ac:dyDescent="0.25">
      <c r="A361" s="22">
        <v>128</v>
      </c>
      <c r="B361" s="12" t="s">
        <v>135</v>
      </c>
      <c r="C361" s="89" t="s">
        <v>136</v>
      </c>
      <c r="D361" s="19" t="s">
        <v>16</v>
      </c>
      <c r="E361" s="90"/>
      <c r="F361" s="9"/>
      <c r="G361" s="9"/>
      <c r="H361" s="31"/>
      <c r="I361" s="9"/>
      <c r="J361" s="13">
        <v>45692</v>
      </c>
      <c r="K361" s="9">
        <v>122</v>
      </c>
      <c r="L361" s="26" t="s">
        <v>205</v>
      </c>
      <c r="M361" s="26" t="s">
        <v>206</v>
      </c>
      <c r="N361" s="32" t="s">
        <v>238</v>
      </c>
    </row>
    <row r="362" spans="1:14" hidden="1" x14ac:dyDescent="0.25">
      <c r="A362" s="9">
        <v>83</v>
      </c>
      <c r="B362" s="12" t="s">
        <v>82</v>
      </c>
      <c r="C362" s="89" t="s">
        <v>83</v>
      </c>
      <c r="D362" s="19" t="s">
        <v>16</v>
      </c>
      <c r="E362" s="106"/>
      <c r="F362" s="22"/>
      <c r="G362" s="22"/>
      <c r="H362" s="22"/>
      <c r="I362" s="9"/>
      <c r="J362" s="13">
        <v>45692</v>
      </c>
      <c r="K362" s="9">
        <v>33</v>
      </c>
      <c r="L362" s="26" t="s">
        <v>205</v>
      </c>
      <c r="M362" s="26" t="s">
        <v>206</v>
      </c>
      <c r="N362" s="9" t="s">
        <v>239</v>
      </c>
    </row>
    <row r="363" spans="1:14" hidden="1" x14ac:dyDescent="0.25">
      <c r="A363" s="32">
        <v>84</v>
      </c>
      <c r="B363" s="42" t="s">
        <v>82</v>
      </c>
      <c r="C363" s="97" t="s">
        <v>83</v>
      </c>
      <c r="D363" s="53" t="s">
        <v>16</v>
      </c>
      <c r="E363" s="177"/>
      <c r="F363" s="41"/>
      <c r="G363" s="41"/>
      <c r="H363" s="41"/>
      <c r="I363" s="32"/>
      <c r="J363" s="73">
        <v>45692</v>
      </c>
      <c r="K363" s="41">
        <v>17</v>
      </c>
      <c r="L363" s="26" t="s">
        <v>205</v>
      </c>
      <c r="M363" s="26" t="s">
        <v>206</v>
      </c>
      <c r="N363" s="9" t="s">
        <v>239</v>
      </c>
    </row>
    <row r="364" spans="1:14" hidden="1" x14ac:dyDescent="0.25">
      <c r="A364" s="22">
        <v>144</v>
      </c>
      <c r="B364" s="12" t="s">
        <v>46</v>
      </c>
      <c r="C364" s="9" t="s">
        <v>156</v>
      </c>
      <c r="D364" s="9" t="s">
        <v>16</v>
      </c>
      <c r="E364" s="13"/>
      <c r="F364" s="9"/>
      <c r="G364" s="9"/>
      <c r="H364" s="31"/>
      <c r="I364" s="9"/>
      <c r="J364" s="23">
        <v>45692</v>
      </c>
      <c r="K364" s="22">
        <v>50</v>
      </c>
      <c r="L364" s="26" t="s">
        <v>205</v>
      </c>
      <c r="M364" s="26" t="s">
        <v>206</v>
      </c>
      <c r="N364" s="9" t="s">
        <v>239</v>
      </c>
    </row>
    <row r="365" spans="1:14" hidden="1" x14ac:dyDescent="0.25">
      <c r="A365" s="116">
        <v>128</v>
      </c>
      <c r="B365" s="8" t="s">
        <v>135</v>
      </c>
      <c r="C365" s="178" t="s">
        <v>136</v>
      </c>
      <c r="D365" s="70" t="s">
        <v>16</v>
      </c>
      <c r="E365" s="179"/>
      <c r="F365" s="67"/>
      <c r="G365" s="67"/>
      <c r="H365" s="180"/>
      <c r="I365" s="67"/>
      <c r="J365" s="119">
        <v>45720</v>
      </c>
      <c r="K365" s="67">
        <v>158</v>
      </c>
      <c r="L365" s="26" t="s">
        <v>205</v>
      </c>
      <c r="M365" s="26" t="s">
        <v>206</v>
      </c>
      <c r="N365" s="67" t="s">
        <v>238</v>
      </c>
    </row>
    <row r="366" spans="1:14" hidden="1" x14ac:dyDescent="0.25">
      <c r="A366" s="118">
        <v>166</v>
      </c>
      <c r="B366" s="12" t="s">
        <v>135</v>
      </c>
      <c r="C366" s="89" t="s">
        <v>136</v>
      </c>
      <c r="D366" s="53" t="s">
        <v>16</v>
      </c>
      <c r="E366" s="95"/>
      <c r="F366" s="58"/>
      <c r="G366" s="96"/>
      <c r="H366" s="96"/>
      <c r="I366" s="107"/>
      <c r="J366" s="101">
        <v>45720</v>
      </c>
      <c r="K366" s="114">
        <v>74</v>
      </c>
      <c r="L366" s="26" t="s">
        <v>205</v>
      </c>
      <c r="M366" s="26" t="s">
        <v>206</v>
      </c>
      <c r="N366" s="110" t="s">
        <v>238</v>
      </c>
    </row>
    <row r="367" spans="1:14" hidden="1" x14ac:dyDescent="0.25">
      <c r="A367" s="22" t="s">
        <v>35</v>
      </c>
      <c r="B367" s="12" t="s">
        <v>48</v>
      </c>
      <c r="C367" s="22" t="s">
        <v>77</v>
      </c>
      <c r="D367" s="22"/>
      <c r="E367" s="23"/>
      <c r="F367" s="22"/>
      <c r="G367" s="22"/>
      <c r="H367" s="22"/>
      <c r="I367" s="9"/>
      <c r="J367" s="119">
        <v>45720</v>
      </c>
      <c r="K367" s="22">
        <v>6</v>
      </c>
      <c r="L367" s="26" t="s">
        <v>205</v>
      </c>
      <c r="M367" s="26" t="s">
        <v>206</v>
      </c>
      <c r="N367" s="22" t="s">
        <v>214</v>
      </c>
    </row>
    <row r="368" spans="1:14" x14ac:dyDescent="0.25">
      <c r="A368" s="9">
        <v>180</v>
      </c>
      <c r="B368" s="12" t="s">
        <v>37</v>
      </c>
      <c r="C368" s="89" t="s">
        <v>38</v>
      </c>
      <c r="D368" s="75" t="s">
        <v>104</v>
      </c>
      <c r="E368" s="90"/>
      <c r="F368" s="9"/>
      <c r="G368" s="9"/>
      <c r="H368" s="9"/>
      <c r="I368" s="9"/>
      <c r="J368" s="13">
        <v>45720</v>
      </c>
      <c r="K368" s="9">
        <v>20</v>
      </c>
      <c r="L368" s="26" t="s">
        <v>205</v>
      </c>
      <c r="M368" s="26" t="s">
        <v>206</v>
      </c>
      <c r="N368" s="78" t="s">
        <v>214</v>
      </c>
    </row>
    <row r="369" spans="1:14" x14ac:dyDescent="0.25">
      <c r="A369" s="9">
        <v>180</v>
      </c>
      <c r="B369" s="12" t="s">
        <v>37</v>
      </c>
      <c r="C369" s="89" t="s">
        <v>38</v>
      </c>
      <c r="D369" s="26" t="s">
        <v>104</v>
      </c>
      <c r="E369" s="90"/>
      <c r="F369" s="9"/>
      <c r="G369" s="9"/>
      <c r="H369" s="9"/>
      <c r="I369" s="9"/>
      <c r="J369" s="13">
        <v>45720</v>
      </c>
      <c r="K369" s="9">
        <v>76</v>
      </c>
      <c r="L369" s="26" t="s">
        <v>205</v>
      </c>
      <c r="M369" s="26" t="s">
        <v>206</v>
      </c>
      <c r="N369" s="32" t="s">
        <v>214</v>
      </c>
    </row>
    <row r="370" spans="1:14" hidden="1" x14ac:dyDescent="0.25">
      <c r="A370" s="41">
        <v>138</v>
      </c>
      <c r="B370" s="42" t="s">
        <v>145</v>
      </c>
      <c r="C370" s="43" t="s">
        <v>146</v>
      </c>
      <c r="D370" s="53" t="s">
        <v>16</v>
      </c>
      <c r="E370" s="72"/>
      <c r="F370" s="32"/>
      <c r="G370" s="32"/>
      <c r="H370" s="36"/>
      <c r="I370" s="32"/>
      <c r="J370" s="73">
        <v>45721</v>
      </c>
      <c r="K370" s="32">
        <v>3</v>
      </c>
      <c r="L370" s="53" t="s">
        <v>212</v>
      </c>
      <c r="M370" s="32" t="s">
        <v>353</v>
      </c>
      <c r="N370" s="42"/>
    </row>
    <row r="371" spans="1:14" hidden="1" x14ac:dyDescent="0.25">
      <c r="A371" s="22">
        <v>142</v>
      </c>
      <c r="B371" s="12" t="s">
        <v>127</v>
      </c>
      <c r="C371" s="9" t="s">
        <v>128</v>
      </c>
      <c r="D371" s="9" t="s">
        <v>16</v>
      </c>
      <c r="E371" s="13"/>
      <c r="F371" s="9"/>
      <c r="G371" s="9"/>
      <c r="H371" s="31"/>
      <c r="I371" s="9"/>
      <c r="J371" s="13">
        <v>45721</v>
      </c>
      <c r="K371" s="9">
        <v>3</v>
      </c>
      <c r="L371" s="9" t="s">
        <v>212</v>
      </c>
      <c r="M371" s="9" t="s">
        <v>353</v>
      </c>
      <c r="N371" s="24"/>
    </row>
    <row r="372" spans="1:14" hidden="1" x14ac:dyDescent="0.25">
      <c r="A372" s="28">
        <v>136</v>
      </c>
      <c r="B372" s="8" t="s">
        <v>14</v>
      </c>
      <c r="C372" s="178" t="s">
        <v>122</v>
      </c>
      <c r="D372" s="70" t="s">
        <v>16</v>
      </c>
      <c r="E372" s="194"/>
      <c r="F372" s="7"/>
      <c r="G372" s="7"/>
      <c r="H372" s="37"/>
      <c r="I372" s="7"/>
      <c r="J372" s="11">
        <v>45721</v>
      </c>
      <c r="K372" s="7">
        <v>3</v>
      </c>
      <c r="L372" s="9" t="s">
        <v>212</v>
      </c>
      <c r="M372" s="7" t="s">
        <v>353</v>
      </c>
      <c r="N372" s="8"/>
    </row>
    <row r="373" spans="1:14" hidden="1" x14ac:dyDescent="0.25">
      <c r="A373" s="19">
        <v>56</v>
      </c>
      <c r="B373" s="55" t="s">
        <v>17</v>
      </c>
      <c r="C373" s="19" t="s">
        <v>18</v>
      </c>
      <c r="D373" s="10" t="s">
        <v>16</v>
      </c>
      <c r="E373" s="84"/>
      <c r="F373" s="19"/>
      <c r="G373" s="19"/>
      <c r="H373" s="19"/>
      <c r="I373" s="19"/>
      <c r="J373" s="84">
        <v>45721</v>
      </c>
      <c r="K373" s="19">
        <v>3</v>
      </c>
      <c r="L373" s="9" t="s">
        <v>212</v>
      </c>
      <c r="M373" s="53" t="s">
        <v>353</v>
      </c>
      <c r="N373" s="55"/>
    </row>
    <row r="374" spans="1:14" x14ac:dyDescent="0.25">
      <c r="A374" s="9">
        <v>180</v>
      </c>
      <c r="B374" s="12" t="s">
        <v>37</v>
      </c>
      <c r="C374" s="89" t="s">
        <v>38</v>
      </c>
      <c r="D374" s="26" t="s">
        <v>104</v>
      </c>
      <c r="E374" s="90"/>
      <c r="F374" s="9"/>
      <c r="G374" s="9"/>
      <c r="H374" s="9"/>
      <c r="I374" s="9"/>
      <c r="J374" s="13">
        <v>45721</v>
      </c>
      <c r="K374" s="9">
        <v>3</v>
      </c>
      <c r="L374" s="9" t="s">
        <v>212</v>
      </c>
      <c r="M374" s="9" t="s">
        <v>353</v>
      </c>
      <c r="N374" s="24"/>
    </row>
    <row r="375" spans="1:14" hidden="1" x14ac:dyDescent="0.25">
      <c r="A375" s="26">
        <v>132</v>
      </c>
      <c r="B375" s="56" t="s">
        <v>33</v>
      </c>
      <c r="C375" s="61" t="s">
        <v>34</v>
      </c>
      <c r="D375" s="34" t="s">
        <v>113</v>
      </c>
      <c r="E375" s="51"/>
      <c r="F375" s="26"/>
      <c r="G375" s="49"/>
      <c r="H375" s="49"/>
      <c r="I375" s="19"/>
      <c r="J375" s="51">
        <v>45721</v>
      </c>
      <c r="K375" s="26">
        <v>3</v>
      </c>
      <c r="L375" s="9" t="s">
        <v>212</v>
      </c>
      <c r="M375" s="19" t="s">
        <v>353</v>
      </c>
      <c r="N375" s="39"/>
    </row>
    <row r="376" spans="1:14" hidden="1" x14ac:dyDescent="0.25">
      <c r="A376" s="22">
        <v>87</v>
      </c>
      <c r="B376" s="12" t="s">
        <v>138</v>
      </c>
      <c r="C376" s="18" t="s">
        <v>139</v>
      </c>
      <c r="D376" s="19" t="s">
        <v>16</v>
      </c>
      <c r="E376" s="20"/>
      <c r="F376" s="9"/>
      <c r="G376" s="9"/>
      <c r="H376" s="31"/>
      <c r="I376" s="9"/>
      <c r="J376" s="13">
        <v>45721</v>
      </c>
      <c r="K376" s="9">
        <v>3</v>
      </c>
      <c r="L376" s="9" t="s">
        <v>212</v>
      </c>
      <c r="M376" s="9" t="s">
        <v>353</v>
      </c>
      <c r="N376" s="12"/>
    </row>
    <row r="377" spans="1:14" hidden="1" x14ac:dyDescent="0.25">
      <c r="A377" s="22">
        <v>141</v>
      </c>
      <c r="B377" s="12" t="s">
        <v>142</v>
      </c>
      <c r="C377" s="89" t="s">
        <v>143</v>
      </c>
      <c r="D377" s="19" t="s">
        <v>16</v>
      </c>
      <c r="E377" s="90"/>
      <c r="F377" s="9"/>
      <c r="G377" s="9"/>
      <c r="H377" s="31"/>
      <c r="I377" s="9"/>
      <c r="J377" s="13">
        <v>45726</v>
      </c>
      <c r="K377" s="9">
        <v>1</v>
      </c>
      <c r="L377" s="22" t="s">
        <v>722</v>
      </c>
      <c r="M377" s="9" t="s">
        <v>353</v>
      </c>
      <c r="N377" s="12"/>
    </row>
    <row r="378" spans="1:14" x14ac:dyDescent="0.25">
      <c r="A378" s="9">
        <v>180</v>
      </c>
      <c r="B378" s="12" t="s">
        <v>37</v>
      </c>
      <c r="C378" s="89" t="s">
        <v>38</v>
      </c>
      <c r="D378" s="26" t="s">
        <v>104</v>
      </c>
      <c r="E378" s="90"/>
      <c r="F378" s="9"/>
      <c r="G378" s="9"/>
      <c r="H378" s="9"/>
      <c r="I378" s="9"/>
      <c r="J378" s="13">
        <v>45728</v>
      </c>
      <c r="K378" s="9">
        <v>108</v>
      </c>
      <c r="L378" s="26" t="s">
        <v>205</v>
      </c>
      <c r="M378" s="26" t="s">
        <v>206</v>
      </c>
      <c r="N378" s="32" t="s">
        <v>214</v>
      </c>
    </row>
    <row r="379" spans="1:14" hidden="1" x14ac:dyDescent="0.25">
      <c r="A379" s="22">
        <v>127</v>
      </c>
      <c r="B379" s="12" t="s">
        <v>48</v>
      </c>
      <c r="C379" s="113" t="s">
        <v>77</v>
      </c>
      <c r="D379" s="19" t="s">
        <v>16</v>
      </c>
      <c r="E379" s="90"/>
      <c r="F379" s="9"/>
      <c r="G379" s="9"/>
      <c r="H379" s="31"/>
      <c r="I379" s="9"/>
      <c r="J379" s="13">
        <v>45728</v>
      </c>
      <c r="K379" s="9">
        <v>2</v>
      </c>
      <c r="L379" s="9" t="s">
        <v>361</v>
      </c>
      <c r="M379" s="111" t="s">
        <v>353</v>
      </c>
      <c r="N379" s="12"/>
    </row>
    <row r="380" spans="1:14" hidden="1" x14ac:dyDescent="0.25">
      <c r="A380" s="26">
        <v>132</v>
      </c>
      <c r="B380" s="56" t="s">
        <v>33</v>
      </c>
      <c r="C380" s="61" t="s">
        <v>34</v>
      </c>
      <c r="D380" s="34" t="s">
        <v>113</v>
      </c>
      <c r="E380" s="51"/>
      <c r="F380" s="26"/>
      <c r="G380" s="49"/>
      <c r="H380" s="49"/>
      <c r="I380" s="19"/>
      <c r="J380" s="51">
        <v>45735</v>
      </c>
      <c r="K380" s="26">
        <v>5</v>
      </c>
      <c r="L380" s="188" t="s">
        <v>205</v>
      </c>
      <c r="M380" s="26" t="s">
        <v>206</v>
      </c>
      <c r="N380" s="26" t="s">
        <v>424</v>
      </c>
    </row>
    <row r="381" spans="1:14" hidden="1" x14ac:dyDescent="0.25">
      <c r="A381" s="26">
        <v>132</v>
      </c>
      <c r="B381" s="56" t="s">
        <v>33</v>
      </c>
      <c r="C381" s="61" t="s">
        <v>34</v>
      </c>
      <c r="D381" s="34" t="s">
        <v>113</v>
      </c>
      <c r="E381" s="51"/>
      <c r="F381" s="26"/>
      <c r="G381" s="49"/>
      <c r="H381" s="49"/>
      <c r="I381" s="19"/>
      <c r="J381" s="51">
        <v>45736</v>
      </c>
      <c r="K381" s="26">
        <v>2</v>
      </c>
      <c r="L381" s="188" t="s">
        <v>205</v>
      </c>
      <c r="M381" s="26" t="s">
        <v>206</v>
      </c>
      <c r="N381" s="19" t="s">
        <v>424</v>
      </c>
    </row>
    <row r="382" spans="1:14" x14ac:dyDescent="0.25">
      <c r="A382" s="9">
        <v>180</v>
      </c>
      <c r="B382" s="12" t="s">
        <v>37</v>
      </c>
      <c r="C382" s="89" t="s">
        <v>38</v>
      </c>
      <c r="D382" s="26" t="s">
        <v>104</v>
      </c>
      <c r="E382" s="90"/>
      <c r="F382" s="9"/>
      <c r="G382" s="9"/>
      <c r="H382" s="9"/>
      <c r="I382" s="9"/>
      <c r="J382" s="13">
        <v>45737</v>
      </c>
      <c r="K382" s="9">
        <v>20</v>
      </c>
      <c r="L382" s="22" t="s">
        <v>719</v>
      </c>
      <c r="M382" s="26" t="s">
        <v>206</v>
      </c>
      <c r="N382" s="32" t="s">
        <v>425</v>
      </c>
    </row>
    <row r="383" spans="1:14" hidden="1" x14ac:dyDescent="0.25">
      <c r="A383" s="26">
        <v>132</v>
      </c>
      <c r="B383" s="56" t="s">
        <v>33</v>
      </c>
      <c r="C383" s="61" t="s">
        <v>34</v>
      </c>
      <c r="D383" s="34" t="s">
        <v>113</v>
      </c>
      <c r="E383" s="51"/>
      <c r="F383" s="26"/>
      <c r="G383" s="49"/>
      <c r="H383" s="49"/>
      <c r="I383" s="19"/>
      <c r="J383" s="51">
        <v>45748</v>
      </c>
      <c r="K383" s="26">
        <v>5</v>
      </c>
      <c r="L383" s="188" t="s">
        <v>205</v>
      </c>
      <c r="M383" s="26" t="s">
        <v>206</v>
      </c>
      <c r="N383" s="19" t="s">
        <v>426</v>
      </c>
    </row>
    <row r="384" spans="1:14" hidden="1" x14ac:dyDescent="0.25">
      <c r="A384" s="22">
        <v>144</v>
      </c>
      <c r="B384" s="12" t="s">
        <v>46</v>
      </c>
      <c r="C384" s="9" t="s">
        <v>156</v>
      </c>
      <c r="D384" s="9" t="s">
        <v>16</v>
      </c>
      <c r="E384" s="13"/>
      <c r="F384" s="9"/>
      <c r="G384" s="9"/>
      <c r="H384" s="31"/>
      <c r="I384" s="9"/>
      <c r="J384" s="23">
        <v>45692</v>
      </c>
      <c r="K384" s="22">
        <v>50</v>
      </c>
      <c r="L384" s="26" t="s">
        <v>205</v>
      </c>
      <c r="M384" s="26" t="s">
        <v>206</v>
      </c>
      <c r="N384" s="9" t="s">
        <v>427</v>
      </c>
    </row>
    <row r="385" spans="1:14" x14ac:dyDescent="0.25">
      <c r="A385" s="9">
        <v>180</v>
      </c>
      <c r="B385" s="12" t="s">
        <v>37</v>
      </c>
      <c r="C385" s="89" t="s">
        <v>38</v>
      </c>
      <c r="D385" s="26" t="s">
        <v>104</v>
      </c>
      <c r="E385" s="90"/>
      <c r="F385" s="9"/>
      <c r="G385" s="9"/>
      <c r="H385" s="9"/>
      <c r="I385" s="9"/>
      <c r="J385" s="13">
        <v>45748</v>
      </c>
      <c r="K385" s="9">
        <v>51</v>
      </c>
      <c r="L385" s="26" t="s">
        <v>205</v>
      </c>
      <c r="M385" s="26" t="s">
        <v>206</v>
      </c>
      <c r="N385" s="32" t="s">
        <v>427</v>
      </c>
    </row>
    <row r="386" spans="1:14" hidden="1" x14ac:dyDescent="0.25">
      <c r="A386" s="32">
        <v>84</v>
      </c>
      <c r="B386" s="42" t="s">
        <v>82</v>
      </c>
      <c r="C386" s="97" t="s">
        <v>83</v>
      </c>
      <c r="D386" s="53" t="s">
        <v>16</v>
      </c>
      <c r="E386" s="177"/>
      <c r="F386" s="41"/>
      <c r="G386" s="41"/>
      <c r="H386" s="41"/>
      <c r="I386" s="32"/>
      <c r="J386" s="73">
        <v>45748</v>
      </c>
      <c r="K386" s="41">
        <v>16</v>
      </c>
      <c r="L386" s="26" t="s">
        <v>205</v>
      </c>
      <c r="M386" s="26" t="s">
        <v>206</v>
      </c>
      <c r="N386" s="9" t="s">
        <v>214</v>
      </c>
    </row>
    <row r="387" spans="1:14" hidden="1" x14ac:dyDescent="0.25">
      <c r="A387" s="22">
        <v>127</v>
      </c>
      <c r="B387" s="12" t="s">
        <v>48</v>
      </c>
      <c r="C387" s="113" t="s">
        <v>77</v>
      </c>
      <c r="D387" s="19" t="s">
        <v>16</v>
      </c>
      <c r="E387" s="90"/>
      <c r="F387" s="9"/>
      <c r="G387" s="9"/>
      <c r="H387" s="31"/>
      <c r="I387" s="9"/>
      <c r="J387" s="13">
        <v>45728</v>
      </c>
      <c r="K387" s="9">
        <v>8</v>
      </c>
      <c r="L387" s="9" t="s">
        <v>361</v>
      </c>
      <c r="M387" s="26" t="s">
        <v>206</v>
      </c>
      <c r="N387" s="22" t="s">
        <v>214</v>
      </c>
    </row>
    <row r="388" spans="1:14" hidden="1" x14ac:dyDescent="0.25">
      <c r="A388" s="26">
        <v>132</v>
      </c>
      <c r="B388" s="56" t="s">
        <v>33</v>
      </c>
      <c r="C388" s="61" t="s">
        <v>34</v>
      </c>
      <c r="D388" s="34" t="s">
        <v>113</v>
      </c>
      <c r="E388" s="51"/>
      <c r="F388" s="26"/>
      <c r="G388" s="49"/>
      <c r="H388" s="49"/>
      <c r="I388" s="19"/>
      <c r="J388" s="51">
        <v>45764</v>
      </c>
      <c r="K388" s="26">
        <v>8</v>
      </c>
      <c r="L388" s="188" t="s">
        <v>205</v>
      </c>
      <c r="M388" s="26" t="s">
        <v>206</v>
      </c>
      <c r="N388" s="19" t="s">
        <v>430</v>
      </c>
    </row>
    <row r="389" spans="1:14" hidden="1" x14ac:dyDescent="0.25">
      <c r="A389" s="22">
        <v>144</v>
      </c>
      <c r="B389" s="12" t="s">
        <v>46</v>
      </c>
      <c r="C389" s="9" t="s">
        <v>156</v>
      </c>
      <c r="D389" s="9" t="s">
        <v>16</v>
      </c>
      <c r="E389" s="13"/>
      <c r="F389" s="9"/>
      <c r="G389" s="9"/>
      <c r="H389" s="31"/>
      <c r="I389" s="9"/>
      <c r="J389" s="23">
        <v>45764</v>
      </c>
      <c r="K389" s="22">
        <v>17</v>
      </c>
      <c r="L389" s="26" t="s">
        <v>205</v>
      </c>
      <c r="M389" s="26" t="s">
        <v>206</v>
      </c>
      <c r="N389" s="9" t="s">
        <v>431</v>
      </c>
    </row>
    <row r="390" spans="1:14" hidden="1" x14ac:dyDescent="0.25">
      <c r="A390" s="26" t="s">
        <v>527</v>
      </c>
      <c r="B390" s="55" t="s">
        <v>58</v>
      </c>
      <c r="C390" s="19" t="s">
        <v>59</v>
      </c>
      <c r="D390" s="26" t="s">
        <v>186</v>
      </c>
      <c r="E390" s="51"/>
      <c r="F390" s="26"/>
      <c r="G390" s="49"/>
      <c r="H390" s="26"/>
      <c r="I390" s="19"/>
      <c r="J390" s="51">
        <v>45769</v>
      </c>
      <c r="K390" s="26">
        <v>18</v>
      </c>
      <c r="L390" s="26" t="s">
        <v>205</v>
      </c>
      <c r="M390" s="26" t="s">
        <v>206</v>
      </c>
      <c r="N390" s="26" t="s">
        <v>528</v>
      </c>
    </row>
    <row r="391" spans="1:14" hidden="1" x14ac:dyDescent="0.25">
      <c r="A391" s="118">
        <v>166</v>
      </c>
      <c r="B391" s="12" t="s">
        <v>135</v>
      </c>
      <c r="C391" s="89" t="s">
        <v>136</v>
      </c>
      <c r="D391" s="19" t="s">
        <v>16</v>
      </c>
      <c r="E391" s="95"/>
      <c r="F391" s="58"/>
      <c r="G391" s="96"/>
      <c r="H391" s="96"/>
      <c r="I391" s="107"/>
      <c r="J391" s="101">
        <v>45782</v>
      </c>
      <c r="K391" s="114">
        <v>34</v>
      </c>
      <c r="L391" s="26" t="s">
        <v>205</v>
      </c>
      <c r="M391" s="26" t="s">
        <v>206</v>
      </c>
      <c r="N391" s="110" t="s">
        <v>238</v>
      </c>
    </row>
    <row r="392" spans="1:14" hidden="1" x14ac:dyDescent="0.25">
      <c r="A392" s="22">
        <v>127</v>
      </c>
      <c r="B392" s="12" t="s">
        <v>48</v>
      </c>
      <c r="C392" s="35" t="s">
        <v>77</v>
      </c>
      <c r="D392" s="19" t="s">
        <v>16</v>
      </c>
      <c r="E392" s="20"/>
      <c r="F392" s="9"/>
      <c r="G392" s="9"/>
      <c r="H392" s="31"/>
      <c r="I392" s="9"/>
      <c r="J392" s="13">
        <v>45799</v>
      </c>
      <c r="K392" s="9">
        <v>3</v>
      </c>
      <c r="L392" s="9" t="s">
        <v>212</v>
      </c>
      <c r="M392" s="189" t="s">
        <v>353</v>
      </c>
      <c r="N392" s="12"/>
    </row>
    <row r="393" spans="1:14" hidden="1" x14ac:dyDescent="0.25">
      <c r="A393" s="26" t="s">
        <v>527</v>
      </c>
      <c r="B393" s="55" t="s">
        <v>58</v>
      </c>
      <c r="C393" s="19" t="s">
        <v>59</v>
      </c>
      <c r="D393" s="26" t="s">
        <v>186</v>
      </c>
      <c r="E393" s="51"/>
      <c r="F393" s="26"/>
      <c r="G393" s="49"/>
      <c r="H393" s="26"/>
      <c r="I393" s="19"/>
      <c r="J393" s="51">
        <v>45824</v>
      </c>
      <c r="K393" s="26">
        <v>6</v>
      </c>
      <c r="L393" s="26" t="s">
        <v>205</v>
      </c>
      <c r="M393" s="26" t="s">
        <v>206</v>
      </c>
      <c r="N393" s="26" t="s">
        <v>553</v>
      </c>
    </row>
    <row r="394" spans="1:14" hidden="1" x14ac:dyDescent="0.25">
      <c r="A394" s="22">
        <v>144</v>
      </c>
      <c r="B394" s="12" t="s">
        <v>46</v>
      </c>
      <c r="C394" s="9" t="s">
        <v>156</v>
      </c>
      <c r="D394" s="9" t="s">
        <v>16</v>
      </c>
      <c r="E394" s="13"/>
      <c r="F394" s="9"/>
      <c r="G394" s="9"/>
      <c r="H394" s="31"/>
      <c r="I394" s="9"/>
      <c r="J394" s="23">
        <v>45824</v>
      </c>
      <c r="K394" s="22">
        <v>5</v>
      </c>
      <c r="L394" s="26" t="s">
        <v>205</v>
      </c>
      <c r="M394" s="26" t="s">
        <v>206</v>
      </c>
      <c r="N394" s="176" t="s">
        <v>554</v>
      </c>
    </row>
    <row r="395" spans="1:14" hidden="1" x14ac:dyDescent="0.25">
      <c r="A395" s="9">
        <v>84</v>
      </c>
      <c r="B395" s="12" t="s">
        <v>82</v>
      </c>
      <c r="C395" s="9" t="s">
        <v>83</v>
      </c>
      <c r="D395" s="9" t="s">
        <v>16</v>
      </c>
      <c r="E395" s="23"/>
      <c r="F395" s="22"/>
      <c r="G395" s="22"/>
      <c r="H395" s="22"/>
      <c r="I395" s="9"/>
      <c r="J395" s="13">
        <v>45834</v>
      </c>
      <c r="K395" s="22">
        <v>10</v>
      </c>
      <c r="L395" s="26" t="s">
        <v>205</v>
      </c>
      <c r="M395" s="26" t="s">
        <v>206</v>
      </c>
      <c r="N395" s="9" t="s">
        <v>554</v>
      </c>
    </row>
    <row r="396" spans="1:14" hidden="1" x14ac:dyDescent="0.25">
      <c r="A396" s="9">
        <v>84</v>
      </c>
      <c r="B396" s="12" t="s">
        <v>82</v>
      </c>
      <c r="C396" s="9" t="s">
        <v>83</v>
      </c>
      <c r="D396" s="9" t="s">
        <v>16</v>
      </c>
      <c r="E396" s="23"/>
      <c r="F396" s="22"/>
      <c r="G396" s="22"/>
      <c r="H396" s="22"/>
      <c r="I396" s="9"/>
      <c r="J396" s="13">
        <v>45803</v>
      </c>
      <c r="K396" s="22">
        <v>5</v>
      </c>
      <c r="L396" s="26" t="s">
        <v>205</v>
      </c>
      <c r="M396" s="26" t="s">
        <v>206</v>
      </c>
      <c r="N396" s="9" t="s">
        <v>561</v>
      </c>
    </row>
    <row r="397" spans="1:14" hidden="1" x14ac:dyDescent="0.25">
      <c r="A397" s="26" t="s">
        <v>527</v>
      </c>
      <c r="B397" s="55" t="s">
        <v>58</v>
      </c>
      <c r="C397" s="19" t="s">
        <v>59</v>
      </c>
      <c r="D397" s="26" t="s">
        <v>186</v>
      </c>
      <c r="E397" s="51"/>
      <c r="F397" s="26"/>
      <c r="G397" s="49"/>
      <c r="H397" s="26"/>
      <c r="I397" s="19"/>
      <c r="J397" s="51">
        <v>45838</v>
      </c>
      <c r="K397" s="26">
        <v>10</v>
      </c>
      <c r="L397" s="26" t="s">
        <v>205</v>
      </c>
      <c r="M397" s="26" t="s">
        <v>206</v>
      </c>
      <c r="N397" s="26" t="s">
        <v>562</v>
      </c>
    </row>
    <row r="398" spans="1:14" hidden="1" x14ac:dyDescent="0.25">
      <c r="A398" s="58">
        <v>132</v>
      </c>
      <c r="B398" s="57" t="s">
        <v>33</v>
      </c>
      <c r="C398" s="62" t="s">
        <v>34</v>
      </c>
      <c r="D398" s="86" t="s">
        <v>113</v>
      </c>
      <c r="E398" s="95"/>
      <c r="F398" s="58"/>
      <c r="G398" s="96"/>
      <c r="H398" s="96"/>
      <c r="I398" s="53"/>
      <c r="J398" s="95">
        <v>45838</v>
      </c>
      <c r="K398" s="58">
        <v>11</v>
      </c>
      <c r="L398" s="192" t="s">
        <v>205</v>
      </c>
      <c r="M398" s="26" t="s">
        <v>206</v>
      </c>
      <c r="N398" s="53" t="s">
        <v>430</v>
      </c>
    </row>
    <row r="399" spans="1:14" hidden="1" x14ac:dyDescent="0.25">
      <c r="A399" s="9">
        <v>69</v>
      </c>
      <c r="B399" s="12" t="s">
        <v>87</v>
      </c>
      <c r="C399" s="9" t="s">
        <v>88</v>
      </c>
      <c r="D399" s="9" t="s">
        <v>16</v>
      </c>
      <c r="E399" s="13"/>
      <c r="F399" s="9"/>
      <c r="G399" s="9"/>
      <c r="H399" s="9"/>
      <c r="I399" s="9"/>
      <c r="J399" s="13">
        <v>45838</v>
      </c>
      <c r="K399" s="9">
        <v>5</v>
      </c>
      <c r="L399" s="26" t="s">
        <v>205</v>
      </c>
      <c r="M399" s="26" t="s">
        <v>206</v>
      </c>
      <c r="N399" s="9" t="s">
        <v>561</v>
      </c>
    </row>
    <row r="400" spans="1:14" hidden="1" x14ac:dyDescent="0.25">
      <c r="A400" s="9">
        <v>84</v>
      </c>
      <c r="B400" s="12" t="s">
        <v>82</v>
      </c>
      <c r="C400" s="9" t="s">
        <v>83</v>
      </c>
      <c r="D400" s="9" t="s">
        <v>16</v>
      </c>
      <c r="E400" s="23"/>
      <c r="F400" s="22"/>
      <c r="G400" s="22"/>
      <c r="H400" s="22"/>
      <c r="I400" s="9"/>
      <c r="J400" s="13">
        <v>45848</v>
      </c>
      <c r="K400" s="22">
        <v>15</v>
      </c>
      <c r="L400" s="26" t="s">
        <v>205</v>
      </c>
      <c r="M400" s="26" t="s">
        <v>206</v>
      </c>
      <c r="N400" s="9" t="s">
        <v>554</v>
      </c>
    </row>
    <row r="401" spans="1:14" hidden="1" x14ac:dyDescent="0.25">
      <c r="A401" s="9">
        <v>84</v>
      </c>
      <c r="B401" s="12" t="s">
        <v>82</v>
      </c>
      <c r="C401" s="9" t="s">
        <v>83</v>
      </c>
      <c r="D401" s="9" t="s">
        <v>16</v>
      </c>
      <c r="E401" s="23"/>
      <c r="F401" s="22"/>
      <c r="G401" s="22"/>
      <c r="H401" s="22"/>
      <c r="I401" s="9"/>
      <c r="J401" s="13">
        <v>45848</v>
      </c>
      <c r="K401" s="22">
        <v>5</v>
      </c>
      <c r="L401" s="26" t="s">
        <v>205</v>
      </c>
      <c r="M401" s="26" t="s">
        <v>206</v>
      </c>
      <c r="N401" s="9" t="s">
        <v>554</v>
      </c>
    </row>
    <row r="402" spans="1:14" hidden="1" x14ac:dyDescent="0.25">
      <c r="A402" s="9">
        <v>84</v>
      </c>
      <c r="B402" s="12" t="s">
        <v>82</v>
      </c>
      <c r="C402" s="9" t="s">
        <v>83</v>
      </c>
      <c r="D402" s="9" t="s">
        <v>16</v>
      </c>
      <c r="E402" s="23"/>
      <c r="F402" s="22"/>
      <c r="G402" s="22"/>
      <c r="H402" s="22"/>
      <c r="I402" s="9"/>
      <c r="J402" s="13">
        <v>45848</v>
      </c>
      <c r="K402" s="22">
        <v>3</v>
      </c>
      <c r="L402" s="26" t="s">
        <v>205</v>
      </c>
      <c r="M402" s="26" t="s">
        <v>206</v>
      </c>
      <c r="N402" s="9" t="s">
        <v>554</v>
      </c>
    </row>
    <row r="403" spans="1:14" hidden="1" x14ac:dyDescent="0.25">
      <c r="A403" s="22">
        <v>145</v>
      </c>
      <c r="B403" s="12" t="s">
        <v>82</v>
      </c>
      <c r="C403" s="9" t="s">
        <v>83</v>
      </c>
      <c r="D403" s="9" t="s">
        <v>16</v>
      </c>
      <c r="E403" s="23"/>
      <c r="F403" s="22"/>
      <c r="G403" s="22"/>
      <c r="H403" s="22"/>
      <c r="I403" s="9"/>
      <c r="J403" s="13">
        <v>45848</v>
      </c>
      <c r="K403" s="22">
        <v>1</v>
      </c>
      <c r="L403" s="26" t="s">
        <v>205</v>
      </c>
      <c r="M403" s="26" t="s">
        <v>206</v>
      </c>
      <c r="N403" s="9" t="s">
        <v>554</v>
      </c>
    </row>
    <row r="404" spans="1:14" hidden="1" x14ac:dyDescent="0.25">
      <c r="A404" s="22">
        <v>144</v>
      </c>
      <c r="B404" s="12" t="s">
        <v>46</v>
      </c>
      <c r="C404" s="9" t="s">
        <v>156</v>
      </c>
      <c r="D404" s="9" t="s">
        <v>16</v>
      </c>
      <c r="E404" s="13"/>
      <c r="F404" s="9"/>
      <c r="G404" s="9"/>
      <c r="H404" s="31"/>
      <c r="I404" s="9"/>
      <c r="J404" s="23">
        <v>45848</v>
      </c>
      <c r="K404" s="22">
        <v>5</v>
      </c>
      <c r="L404" s="26" t="s">
        <v>205</v>
      </c>
      <c r="M404" s="26" t="s">
        <v>206</v>
      </c>
      <c r="N404" s="176" t="s">
        <v>561</v>
      </c>
    </row>
    <row r="405" spans="1:14" hidden="1" x14ac:dyDescent="0.25">
      <c r="A405" s="26" t="s">
        <v>527</v>
      </c>
      <c r="B405" s="55" t="s">
        <v>58</v>
      </c>
      <c r="C405" s="19" t="s">
        <v>59</v>
      </c>
      <c r="D405" s="26" t="s">
        <v>186</v>
      </c>
      <c r="E405" s="51"/>
      <c r="F405" s="26"/>
      <c r="G405" s="49"/>
      <c r="H405" s="26"/>
      <c r="I405" s="19"/>
      <c r="J405" s="51">
        <v>45855</v>
      </c>
      <c r="K405" s="26">
        <v>88</v>
      </c>
      <c r="L405" s="26" t="s">
        <v>720</v>
      </c>
      <c r="M405" s="26" t="s">
        <v>206</v>
      </c>
      <c r="N405" s="39" t="s">
        <v>572</v>
      </c>
    </row>
    <row r="406" spans="1:14" hidden="1" x14ac:dyDescent="0.25">
      <c r="A406" s="26">
        <v>67</v>
      </c>
      <c r="B406" s="55" t="s">
        <v>58</v>
      </c>
      <c r="C406" s="19" t="s">
        <v>59</v>
      </c>
      <c r="D406" s="26" t="s">
        <v>186</v>
      </c>
      <c r="E406" s="51"/>
      <c r="F406" s="26"/>
      <c r="G406" s="49"/>
      <c r="H406" s="26"/>
      <c r="I406" s="19"/>
      <c r="J406" s="51">
        <v>45855</v>
      </c>
      <c r="K406" s="26">
        <v>124</v>
      </c>
      <c r="L406" s="26" t="s">
        <v>720</v>
      </c>
      <c r="M406" s="26" t="s">
        <v>206</v>
      </c>
      <c r="N406" s="39" t="s">
        <v>572</v>
      </c>
    </row>
    <row r="407" spans="1:14" hidden="1" x14ac:dyDescent="0.25">
      <c r="A407" s="26">
        <v>186</v>
      </c>
      <c r="B407" s="52" t="s">
        <v>109</v>
      </c>
      <c r="C407" s="53" t="s">
        <v>176</v>
      </c>
      <c r="D407" s="26" t="s">
        <v>104</v>
      </c>
      <c r="E407" s="51"/>
      <c r="F407" s="26"/>
      <c r="G407" s="49"/>
      <c r="H407" s="49"/>
      <c r="I407" s="19"/>
      <c r="J407" s="51">
        <v>45869</v>
      </c>
      <c r="K407" s="26">
        <v>5</v>
      </c>
      <c r="L407" s="9" t="s">
        <v>725</v>
      </c>
      <c r="M407" s="26" t="s">
        <v>206</v>
      </c>
      <c r="N407" s="58" t="s">
        <v>574</v>
      </c>
    </row>
    <row r="408" spans="1:14" hidden="1" x14ac:dyDescent="0.25">
      <c r="A408" s="9">
        <v>69</v>
      </c>
      <c r="B408" s="12" t="s">
        <v>87</v>
      </c>
      <c r="C408" s="9" t="s">
        <v>88</v>
      </c>
      <c r="D408" s="9" t="s">
        <v>16</v>
      </c>
      <c r="E408" s="13"/>
      <c r="F408" s="9"/>
      <c r="G408" s="9"/>
      <c r="H408" s="9"/>
      <c r="I408" s="9"/>
      <c r="J408" s="13">
        <v>45869</v>
      </c>
      <c r="K408" s="9">
        <v>6</v>
      </c>
      <c r="L408" s="9" t="s">
        <v>725</v>
      </c>
      <c r="M408" s="47" t="s">
        <v>206</v>
      </c>
      <c r="N408" s="9" t="s">
        <v>575</v>
      </c>
    </row>
    <row r="409" spans="1:14" hidden="1" x14ac:dyDescent="0.25">
      <c r="A409" s="22">
        <v>129</v>
      </c>
      <c r="B409" s="12" t="s">
        <v>68</v>
      </c>
      <c r="C409" s="89" t="s">
        <v>69</v>
      </c>
      <c r="D409" s="19" t="s">
        <v>16</v>
      </c>
      <c r="E409" s="90"/>
      <c r="F409" s="9"/>
      <c r="G409" s="9"/>
      <c r="H409" s="31"/>
      <c r="I409" s="9"/>
      <c r="J409" s="13">
        <v>45873</v>
      </c>
      <c r="K409" s="9">
        <v>3</v>
      </c>
      <c r="L409" s="18" t="s">
        <v>576</v>
      </c>
      <c r="M409" s="9" t="s">
        <v>237</v>
      </c>
      <c r="N409" s="21" t="s">
        <v>577</v>
      </c>
    </row>
    <row r="410" spans="1:14" hidden="1" x14ac:dyDescent="0.25">
      <c r="A410" s="22">
        <v>145</v>
      </c>
      <c r="B410" s="12" t="s">
        <v>82</v>
      </c>
      <c r="C410" s="9" t="s">
        <v>83</v>
      </c>
      <c r="D410" s="9" t="s">
        <v>16</v>
      </c>
      <c r="E410" s="23"/>
      <c r="F410" s="22"/>
      <c r="G410" s="22"/>
      <c r="H410" s="22"/>
      <c r="I410" s="9"/>
      <c r="J410" s="13">
        <v>45873</v>
      </c>
      <c r="K410" s="22">
        <v>3</v>
      </c>
      <c r="L410" s="9" t="s">
        <v>576</v>
      </c>
      <c r="M410" s="26" t="s">
        <v>237</v>
      </c>
      <c r="N410" s="21" t="s">
        <v>577</v>
      </c>
    </row>
    <row r="411" spans="1:14" hidden="1" x14ac:dyDescent="0.25">
      <c r="A411" s="22">
        <v>144</v>
      </c>
      <c r="B411" s="12" t="s">
        <v>46</v>
      </c>
      <c r="C411" s="9" t="s">
        <v>156</v>
      </c>
      <c r="D411" s="9" t="s">
        <v>16</v>
      </c>
      <c r="E411" s="13"/>
      <c r="F411" s="9"/>
      <c r="G411" s="9"/>
      <c r="H411" s="31"/>
      <c r="I411" s="9"/>
      <c r="J411" s="23">
        <v>45873</v>
      </c>
      <c r="K411" s="22">
        <v>3</v>
      </c>
      <c r="L411" s="9" t="s">
        <v>576</v>
      </c>
      <c r="M411" s="26" t="s">
        <v>237</v>
      </c>
      <c r="N411" s="21" t="s">
        <v>577</v>
      </c>
    </row>
    <row r="412" spans="1:14" x14ac:dyDescent="0.25">
      <c r="A412" s="9">
        <v>89</v>
      </c>
      <c r="B412" s="12" t="s">
        <v>37</v>
      </c>
      <c r="C412" s="18" t="s">
        <v>79</v>
      </c>
      <c r="D412" s="19" t="s">
        <v>16</v>
      </c>
      <c r="E412" s="25"/>
      <c r="F412" s="22"/>
      <c r="G412" s="22"/>
      <c r="H412" s="22"/>
      <c r="I412" s="9"/>
      <c r="J412" s="23">
        <v>45873</v>
      </c>
      <c r="K412" s="22">
        <v>3</v>
      </c>
      <c r="L412" s="22" t="s">
        <v>576</v>
      </c>
      <c r="M412" s="22" t="s">
        <v>237</v>
      </c>
      <c r="N412" s="21" t="s">
        <v>577</v>
      </c>
    </row>
    <row r="413" spans="1:14" hidden="1" x14ac:dyDescent="0.25">
      <c r="A413" s="9">
        <v>54</v>
      </c>
      <c r="B413" s="12" t="s">
        <v>84</v>
      </c>
      <c r="C413" s="89" t="s">
        <v>85</v>
      </c>
      <c r="D413" s="19" t="s">
        <v>16</v>
      </c>
      <c r="E413" s="106"/>
      <c r="F413" s="22"/>
      <c r="G413" s="22"/>
      <c r="H413" s="22"/>
      <c r="I413" s="9"/>
      <c r="J413" s="13">
        <v>45873</v>
      </c>
      <c r="K413" s="9">
        <v>3</v>
      </c>
      <c r="L413" s="9" t="s">
        <v>576</v>
      </c>
      <c r="M413" s="9" t="s">
        <v>237</v>
      </c>
      <c r="N413" s="21" t="s">
        <v>577</v>
      </c>
    </row>
    <row r="414" spans="1:14" hidden="1" x14ac:dyDescent="0.25">
      <c r="A414" s="15" t="s">
        <v>32</v>
      </c>
      <c r="B414" s="16" t="s">
        <v>33</v>
      </c>
      <c r="C414" s="87" t="s">
        <v>34</v>
      </c>
      <c r="D414" s="19" t="s">
        <v>16</v>
      </c>
      <c r="E414" s="88"/>
      <c r="F414" s="15"/>
      <c r="G414" s="9"/>
      <c r="H414" s="9"/>
      <c r="I414" s="9"/>
      <c r="J414" s="13">
        <v>45873</v>
      </c>
      <c r="K414" s="9">
        <v>3</v>
      </c>
      <c r="L414" s="9" t="s">
        <v>576</v>
      </c>
      <c r="M414" s="9" t="s">
        <v>237</v>
      </c>
      <c r="N414" s="21" t="s">
        <v>577</v>
      </c>
    </row>
    <row r="415" spans="1:14" hidden="1" x14ac:dyDescent="0.25">
      <c r="A415" s="9">
        <v>184</v>
      </c>
      <c r="B415" s="12" t="s">
        <v>105</v>
      </c>
      <c r="C415" s="18" t="s">
        <v>114</v>
      </c>
      <c r="D415" s="19" t="s">
        <v>113</v>
      </c>
      <c r="E415" s="20"/>
      <c r="F415" s="9"/>
      <c r="G415" s="31"/>
      <c r="H415" s="31"/>
      <c r="I415" s="9"/>
      <c r="J415" s="13">
        <v>45880</v>
      </c>
      <c r="K415" s="9">
        <v>13</v>
      </c>
      <c r="L415" s="26" t="s">
        <v>205</v>
      </c>
      <c r="M415" s="9" t="s">
        <v>206</v>
      </c>
      <c r="N415" s="9" t="s">
        <v>660</v>
      </c>
    </row>
    <row r="416" spans="1:14" x14ac:dyDescent="0.25">
      <c r="A416" s="9">
        <v>180</v>
      </c>
      <c r="B416" s="12" t="s">
        <v>37</v>
      </c>
      <c r="C416" s="18" t="s">
        <v>38</v>
      </c>
      <c r="D416" s="26" t="s">
        <v>104</v>
      </c>
      <c r="E416" s="20"/>
      <c r="F416" s="9"/>
      <c r="G416" s="9"/>
      <c r="H416" s="9"/>
      <c r="I416" s="9"/>
      <c r="J416" s="13">
        <v>45882</v>
      </c>
      <c r="K416" s="9">
        <v>3</v>
      </c>
      <c r="L416" s="22" t="s">
        <v>576</v>
      </c>
      <c r="M416" s="22" t="s">
        <v>237</v>
      </c>
      <c r="N416" s="24" t="s">
        <v>663</v>
      </c>
    </row>
    <row r="417" spans="1:14" hidden="1" x14ac:dyDescent="0.25">
      <c r="A417" s="9">
        <v>215</v>
      </c>
      <c r="B417" s="12" t="s">
        <v>84</v>
      </c>
      <c r="C417" s="89" t="s">
        <v>85</v>
      </c>
      <c r="D417" s="26" t="s">
        <v>104</v>
      </c>
      <c r="E417" s="106"/>
      <c r="F417" s="22"/>
      <c r="G417" s="22"/>
      <c r="H417" s="22"/>
      <c r="I417" s="9"/>
      <c r="J417" s="13">
        <v>45882</v>
      </c>
      <c r="K417" s="9">
        <v>3</v>
      </c>
      <c r="L417" s="9" t="s">
        <v>576</v>
      </c>
      <c r="M417" s="9" t="s">
        <v>237</v>
      </c>
      <c r="N417" s="29" t="s">
        <v>663</v>
      </c>
    </row>
    <row r="418" spans="1:14" hidden="1" x14ac:dyDescent="0.25">
      <c r="A418" s="58">
        <v>182</v>
      </c>
      <c r="B418" s="57" t="s">
        <v>33</v>
      </c>
      <c r="C418" s="53" t="s">
        <v>34</v>
      </c>
      <c r="D418" s="105" t="s">
        <v>104</v>
      </c>
      <c r="E418" s="95"/>
      <c r="F418" s="58"/>
      <c r="G418" s="96"/>
      <c r="H418" s="96"/>
      <c r="I418" s="107"/>
      <c r="J418" s="13">
        <v>45882</v>
      </c>
      <c r="K418" s="115">
        <v>3</v>
      </c>
      <c r="L418" s="9" t="s">
        <v>576</v>
      </c>
      <c r="M418" s="9" t="s">
        <v>237</v>
      </c>
      <c r="N418" s="24" t="s">
        <v>663</v>
      </c>
    </row>
    <row r="419" spans="1:14" hidden="1" x14ac:dyDescent="0.25">
      <c r="A419" s="9">
        <v>77</v>
      </c>
      <c r="B419" s="12" t="s">
        <v>111</v>
      </c>
      <c r="C419" s="9" t="s">
        <v>112</v>
      </c>
      <c r="D419" s="9" t="s">
        <v>104</v>
      </c>
      <c r="E419" s="13"/>
      <c r="F419" s="9"/>
      <c r="G419" s="31"/>
      <c r="H419" s="31"/>
      <c r="I419" s="9"/>
      <c r="J419" s="13">
        <v>45882</v>
      </c>
      <c r="K419" s="9">
        <v>3</v>
      </c>
      <c r="L419" s="9" t="s">
        <v>576</v>
      </c>
      <c r="M419" s="9" t="s">
        <v>237</v>
      </c>
      <c r="N419" s="24" t="s">
        <v>663</v>
      </c>
    </row>
    <row r="420" spans="1:14" hidden="1" x14ac:dyDescent="0.25">
      <c r="A420" s="22" t="s">
        <v>35</v>
      </c>
      <c r="B420" s="12" t="s">
        <v>664</v>
      </c>
      <c r="C420" s="9"/>
      <c r="D420" s="9"/>
      <c r="E420" s="23"/>
      <c r="F420" s="22"/>
      <c r="G420" s="181"/>
      <c r="H420" s="22"/>
      <c r="I420" s="9"/>
      <c r="J420" s="23">
        <v>45894</v>
      </c>
      <c r="K420" s="22">
        <v>3</v>
      </c>
      <c r="L420" s="22" t="s">
        <v>722</v>
      </c>
      <c r="M420" s="22" t="s">
        <v>353</v>
      </c>
      <c r="N420" s="24"/>
    </row>
    <row r="421" spans="1:14" hidden="1" x14ac:dyDescent="0.25">
      <c r="A421" s="58">
        <v>183</v>
      </c>
      <c r="B421" s="52" t="s">
        <v>102</v>
      </c>
      <c r="C421" s="53" t="s">
        <v>171</v>
      </c>
      <c r="D421" s="26" t="s">
        <v>104</v>
      </c>
      <c r="E421" s="95"/>
      <c r="F421" s="58"/>
      <c r="G421" s="96"/>
      <c r="H421" s="96"/>
      <c r="I421" s="107"/>
      <c r="J421" s="13">
        <v>45896</v>
      </c>
      <c r="K421" s="114">
        <v>5</v>
      </c>
      <c r="L421" s="9" t="s">
        <v>721</v>
      </c>
      <c r="M421" s="9" t="s">
        <v>353</v>
      </c>
      <c r="N421" s="104"/>
    </row>
    <row r="422" spans="1:14" hidden="1" x14ac:dyDescent="0.25">
      <c r="A422" s="9">
        <v>184</v>
      </c>
      <c r="B422" s="12" t="s">
        <v>105</v>
      </c>
      <c r="C422" s="18" t="s">
        <v>114</v>
      </c>
      <c r="D422" s="19" t="s">
        <v>113</v>
      </c>
      <c r="E422" s="20"/>
      <c r="F422" s="9"/>
      <c r="G422" s="31"/>
      <c r="H422" s="31"/>
      <c r="I422" s="9"/>
      <c r="J422" s="13">
        <v>45896</v>
      </c>
      <c r="K422" s="9">
        <v>5</v>
      </c>
      <c r="L422" s="9" t="s">
        <v>721</v>
      </c>
      <c r="M422" s="9" t="s">
        <v>353</v>
      </c>
      <c r="N422" s="12"/>
    </row>
    <row r="423" spans="1:14" hidden="1" x14ac:dyDescent="0.25">
      <c r="A423" s="26">
        <v>185</v>
      </c>
      <c r="B423" s="52" t="s">
        <v>107</v>
      </c>
      <c r="C423" s="53" t="s">
        <v>173</v>
      </c>
      <c r="D423" s="26" t="s">
        <v>104</v>
      </c>
      <c r="E423" s="51"/>
      <c r="F423" s="26"/>
      <c r="G423" s="49"/>
      <c r="H423" s="49"/>
      <c r="I423" s="19"/>
      <c r="J423" s="51">
        <v>45896</v>
      </c>
      <c r="K423" s="26">
        <v>5</v>
      </c>
      <c r="L423" s="9" t="s">
        <v>721</v>
      </c>
      <c r="M423" s="26" t="s">
        <v>353</v>
      </c>
      <c r="N423" s="39"/>
    </row>
    <row r="424" spans="1:14" hidden="1" x14ac:dyDescent="0.25">
      <c r="A424" s="229">
        <v>186</v>
      </c>
      <c r="B424" s="230" t="s">
        <v>109</v>
      </c>
      <c r="C424" s="231" t="s">
        <v>176</v>
      </c>
      <c r="D424" s="26" t="s">
        <v>104</v>
      </c>
      <c r="E424" s="51"/>
      <c r="F424" s="26"/>
      <c r="G424" s="49"/>
      <c r="H424" s="49"/>
      <c r="I424" s="19"/>
      <c r="J424" s="51">
        <v>45896</v>
      </c>
      <c r="K424" s="26">
        <v>5</v>
      </c>
      <c r="L424" s="9" t="s">
        <v>721</v>
      </c>
      <c r="M424" s="26" t="s">
        <v>353</v>
      </c>
      <c r="N424" s="39"/>
    </row>
    <row r="425" spans="1:14" hidden="1" x14ac:dyDescent="0.25">
      <c r="A425" s="26">
        <v>187</v>
      </c>
      <c r="B425" s="52" t="s">
        <v>111</v>
      </c>
      <c r="C425" s="53" t="s">
        <v>116</v>
      </c>
      <c r="D425" s="26" t="s">
        <v>104</v>
      </c>
      <c r="E425" s="51"/>
      <c r="F425" s="26"/>
      <c r="G425" s="49"/>
      <c r="H425" s="49"/>
      <c r="I425" s="19"/>
      <c r="J425" s="51">
        <v>45896</v>
      </c>
      <c r="K425" s="26">
        <v>5</v>
      </c>
      <c r="L425" s="9" t="s">
        <v>721</v>
      </c>
      <c r="M425" s="26" t="s">
        <v>353</v>
      </c>
      <c r="N425" s="39"/>
    </row>
    <row r="426" spans="1:14" hidden="1" x14ac:dyDescent="0.25">
      <c r="A426" s="22">
        <v>145</v>
      </c>
      <c r="B426" s="12" t="s">
        <v>82</v>
      </c>
      <c r="C426" s="9" t="s">
        <v>83</v>
      </c>
      <c r="D426" s="9" t="s">
        <v>16</v>
      </c>
      <c r="E426" s="23"/>
      <c r="F426" s="22"/>
      <c r="G426" s="22"/>
      <c r="H426" s="22"/>
      <c r="I426" s="9"/>
      <c r="J426" s="13">
        <v>45897</v>
      </c>
      <c r="K426" s="22">
        <v>215</v>
      </c>
      <c r="L426" s="26" t="s">
        <v>205</v>
      </c>
      <c r="M426" s="26" t="s">
        <v>206</v>
      </c>
      <c r="N426" s="21" t="s">
        <v>665</v>
      </c>
    </row>
    <row r="427" spans="1:14" hidden="1" x14ac:dyDescent="0.25">
      <c r="A427" s="53">
        <v>99</v>
      </c>
      <c r="B427" s="52" t="s">
        <v>99</v>
      </c>
      <c r="C427" s="53" t="s">
        <v>98</v>
      </c>
      <c r="D427" s="53" t="s">
        <v>16</v>
      </c>
      <c r="E427" s="85"/>
      <c r="F427" s="53"/>
      <c r="G427" s="86"/>
      <c r="H427" s="86"/>
      <c r="I427" s="53"/>
      <c r="J427" s="170">
        <v>45912</v>
      </c>
      <c r="K427" s="171">
        <v>5</v>
      </c>
      <c r="L427" s="171" t="s">
        <v>205</v>
      </c>
      <c r="M427" s="9" t="s">
        <v>206</v>
      </c>
      <c r="N427" s="29" t="s">
        <v>224</v>
      </c>
    </row>
    <row r="428" spans="1:14" hidden="1" x14ac:dyDescent="0.25">
      <c r="A428" s="53">
        <v>99</v>
      </c>
      <c r="B428" s="52" t="s">
        <v>99</v>
      </c>
      <c r="C428" s="53" t="s">
        <v>98</v>
      </c>
      <c r="D428" s="53" t="s">
        <v>16</v>
      </c>
      <c r="E428" s="85"/>
      <c r="F428" s="53"/>
      <c r="G428" s="86"/>
      <c r="H428" s="86"/>
      <c r="I428" s="53"/>
      <c r="J428" s="170">
        <v>45912</v>
      </c>
      <c r="K428" s="171">
        <v>30</v>
      </c>
      <c r="L428" s="171" t="s">
        <v>205</v>
      </c>
      <c r="M428" s="9" t="s">
        <v>206</v>
      </c>
      <c r="N428" s="29" t="s">
        <v>224</v>
      </c>
    </row>
    <row r="429" spans="1:14" hidden="1" x14ac:dyDescent="0.25">
      <c r="A429" s="22">
        <v>144</v>
      </c>
      <c r="B429" s="12" t="s">
        <v>46</v>
      </c>
      <c r="C429" s="9" t="s">
        <v>156</v>
      </c>
      <c r="D429" s="9" t="s">
        <v>16</v>
      </c>
      <c r="E429" s="13"/>
      <c r="F429" s="9"/>
      <c r="G429" s="9"/>
      <c r="H429" s="31"/>
      <c r="I429" s="9"/>
      <c r="J429" s="23">
        <v>45912</v>
      </c>
      <c r="K429" s="22">
        <v>570</v>
      </c>
      <c r="L429" s="26" t="s">
        <v>205</v>
      </c>
      <c r="M429" s="9" t="s">
        <v>206</v>
      </c>
      <c r="N429" s="29" t="s">
        <v>224</v>
      </c>
    </row>
    <row r="430" spans="1:14" hidden="1" x14ac:dyDescent="0.25">
      <c r="A430" s="22">
        <v>144</v>
      </c>
      <c r="B430" s="12" t="s">
        <v>46</v>
      </c>
      <c r="C430" s="9" t="s">
        <v>156</v>
      </c>
      <c r="D430" s="9" t="s">
        <v>16</v>
      </c>
      <c r="E430" s="13"/>
      <c r="F430" s="9"/>
      <c r="G430" s="9"/>
      <c r="H430" s="31"/>
      <c r="I430" s="9"/>
      <c r="J430" s="23">
        <v>45912</v>
      </c>
      <c r="K430" s="22">
        <v>30</v>
      </c>
      <c r="L430" s="26" t="s">
        <v>205</v>
      </c>
      <c r="M430" s="9" t="s">
        <v>206</v>
      </c>
      <c r="N430" s="29" t="s">
        <v>224</v>
      </c>
    </row>
    <row r="431" spans="1:14" hidden="1" x14ac:dyDescent="0.25">
      <c r="A431" s="58">
        <v>196</v>
      </c>
      <c r="B431" s="52" t="s">
        <v>70</v>
      </c>
      <c r="C431" s="53" t="s">
        <v>177</v>
      </c>
      <c r="D431" s="26" t="s">
        <v>178</v>
      </c>
      <c r="E431" s="95"/>
      <c r="F431" s="58"/>
      <c r="G431" s="96"/>
      <c r="H431" s="96"/>
      <c r="I431" s="53"/>
      <c r="J431" s="95">
        <v>45929</v>
      </c>
      <c r="K431" s="58">
        <v>3</v>
      </c>
      <c r="L431" s="58" t="s">
        <v>682</v>
      </c>
      <c r="M431" s="58" t="s">
        <v>714</v>
      </c>
      <c r="N431" s="26" t="s">
        <v>197</v>
      </c>
    </row>
    <row r="432" spans="1:14" x14ac:dyDescent="0.25">
      <c r="A432" s="26">
        <v>180</v>
      </c>
      <c r="B432" s="21" t="s">
        <v>37</v>
      </c>
      <c r="C432" s="43" t="s">
        <v>38</v>
      </c>
      <c r="D432" s="26" t="s">
        <v>104</v>
      </c>
      <c r="E432" s="51"/>
      <c r="F432" s="26"/>
      <c r="G432" s="49"/>
      <c r="H432" s="49"/>
      <c r="I432" s="19"/>
      <c r="J432" s="51">
        <v>45929</v>
      </c>
      <c r="K432" s="26">
        <v>509</v>
      </c>
      <c r="L432" s="26" t="s">
        <v>205</v>
      </c>
      <c r="M432" s="9" t="s">
        <v>206</v>
      </c>
      <c r="N432" s="26" t="s">
        <v>197</v>
      </c>
    </row>
    <row r="433" spans="1:14" x14ac:dyDescent="0.25">
      <c r="A433" s="2" t="s">
        <v>184</v>
      </c>
      <c r="B433" s="52" t="s">
        <v>37</v>
      </c>
      <c r="C433" s="53" t="s">
        <v>38</v>
      </c>
      <c r="D433" s="10" t="s">
        <v>16</v>
      </c>
      <c r="E433" s="51"/>
      <c r="F433" s="26"/>
      <c r="G433" s="49"/>
      <c r="H433" s="26"/>
      <c r="I433" s="19"/>
      <c r="J433" s="51">
        <v>45929</v>
      </c>
      <c r="K433" s="26">
        <v>77</v>
      </c>
      <c r="L433" s="26" t="s">
        <v>205</v>
      </c>
      <c r="M433" s="9" t="s">
        <v>206</v>
      </c>
      <c r="N433" s="26" t="s">
        <v>197</v>
      </c>
    </row>
    <row r="434" spans="1:14" hidden="1" x14ac:dyDescent="0.25">
      <c r="A434" s="58">
        <v>182</v>
      </c>
      <c r="B434" s="57" t="s">
        <v>33</v>
      </c>
      <c r="C434" s="53" t="s">
        <v>34</v>
      </c>
      <c r="D434" s="105" t="s">
        <v>104</v>
      </c>
      <c r="E434" s="95"/>
      <c r="F434" s="58"/>
      <c r="G434" s="96"/>
      <c r="H434" s="96"/>
      <c r="I434" s="107"/>
      <c r="J434" s="13">
        <v>45929</v>
      </c>
      <c r="K434" s="115">
        <v>230</v>
      </c>
      <c r="L434" s="75" t="s">
        <v>205</v>
      </c>
      <c r="M434" s="9" t="s">
        <v>206</v>
      </c>
      <c r="N434" s="70" t="s">
        <v>197</v>
      </c>
    </row>
    <row r="435" spans="1:14" hidden="1" x14ac:dyDescent="0.25">
      <c r="A435" s="47">
        <v>158</v>
      </c>
      <c r="B435" s="12" t="s">
        <v>14</v>
      </c>
      <c r="C435" s="18" t="s">
        <v>122</v>
      </c>
      <c r="D435" s="19" t="s">
        <v>16</v>
      </c>
      <c r="E435" s="48"/>
      <c r="F435" s="26"/>
      <c r="G435" s="49"/>
      <c r="H435" s="49"/>
      <c r="I435" s="19"/>
      <c r="J435" s="51">
        <v>45929</v>
      </c>
      <c r="K435" s="26">
        <v>51</v>
      </c>
      <c r="L435" s="9" t="s">
        <v>205</v>
      </c>
      <c r="M435" s="9" t="s">
        <v>206</v>
      </c>
      <c r="N435" s="7" t="s">
        <v>197</v>
      </c>
    </row>
    <row r="436" spans="1:14" hidden="1" x14ac:dyDescent="0.25">
      <c r="A436" s="26">
        <v>160</v>
      </c>
      <c r="B436" s="52" t="s">
        <v>20</v>
      </c>
      <c r="C436" s="53" t="s">
        <v>129</v>
      </c>
      <c r="D436" s="19" t="s">
        <v>16</v>
      </c>
      <c r="E436" s="51"/>
      <c r="F436" s="26"/>
      <c r="G436" s="49"/>
      <c r="H436" s="49"/>
      <c r="I436" s="19"/>
      <c r="J436" s="51">
        <v>45929</v>
      </c>
      <c r="K436" s="26">
        <v>117</v>
      </c>
      <c r="L436" s="32" t="s">
        <v>205</v>
      </c>
      <c r="M436" s="9" t="s">
        <v>206</v>
      </c>
      <c r="N436" s="32" t="s">
        <v>197</v>
      </c>
    </row>
    <row r="437" spans="1:14" hidden="1" x14ac:dyDescent="0.25">
      <c r="A437" s="22">
        <v>161</v>
      </c>
      <c r="B437" s="12" t="s">
        <v>24</v>
      </c>
      <c r="C437" s="89" t="s">
        <v>25</v>
      </c>
      <c r="D437" s="19" t="s">
        <v>16</v>
      </c>
      <c r="E437" s="90"/>
      <c r="F437" s="9"/>
      <c r="G437" s="9"/>
      <c r="H437" s="9"/>
      <c r="I437" s="9"/>
      <c r="J437" s="13">
        <v>45929</v>
      </c>
      <c r="K437" s="9">
        <v>115</v>
      </c>
      <c r="L437" s="9" t="s">
        <v>205</v>
      </c>
      <c r="M437" s="9" t="s">
        <v>206</v>
      </c>
      <c r="N437" s="9" t="s">
        <v>197</v>
      </c>
    </row>
    <row r="438" spans="1:14" hidden="1" x14ac:dyDescent="0.25">
      <c r="A438" s="22">
        <v>140</v>
      </c>
      <c r="B438" s="12" t="s">
        <v>17</v>
      </c>
      <c r="C438" s="89" t="s">
        <v>18</v>
      </c>
      <c r="D438" s="19" t="s">
        <v>16</v>
      </c>
      <c r="E438" s="90"/>
      <c r="F438" s="9"/>
      <c r="G438" s="9"/>
      <c r="H438" s="31"/>
      <c r="I438" s="18"/>
      <c r="J438" s="84">
        <v>45929</v>
      </c>
      <c r="K438" s="19">
        <v>51</v>
      </c>
      <c r="L438" s="53" t="s">
        <v>205</v>
      </c>
      <c r="M438" s="9" t="s">
        <v>206</v>
      </c>
      <c r="N438" s="19" t="s">
        <v>197</v>
      </c>
    </row>
    <row r="439" spans="1:14" hidden="1" x14ac:dyDescent="0.25">
      <c r="A439" s="22">
        <v>129</v>
      </c>
      <c r="B439" s="12" t="s">
        <v>68</v>
      </c>
      <c r="C439" s="89" t="s">
        <v>69</v>
      </c>
      <c r="D439" s="19" t="s">
        <v>16</v>
      </c>
      <c r="E439" s="90"/>
      <c r="F439" s="9"/>
      <c r="G439" s="9"/>
      <c r="H439" s="31"/>
      <c r="I439" s="9"/>
      <c r="J439" s="13">
        <v>45918</v>
      </c>
      <c r="K439" s="9">
        <v>3</v>
      </c>
      <c r="L439" s="9" t="s">
        <v>721</v>
      </c>
      <c r="M439" s="9" t="s">
        <v>237</v>
      </c>
      <c r="N439" s="21"/>
    </row>
    <row r="440" spans="1:14" hidden="1" x14ac:dyDescent="0.25">
      <c r="A440" s="22">
        <v>145</v>
      </c>
      <c r="B440" s="12" t="s">
        <v>82</v>
      </c>
      <c r="C440" s="9" t="s">
        <v>83</v>
      </c>
      <c r="D440" s="9" t="s">
        <v>16</v>
      </c>
      <c r="E440" s="23"/>
      <c r="F440" s="22"/>
      <c r="G440" s="22"/>
      <c r="H440" s="22"/>
      <c r="I440" s="9"/>
      <c r="J440" s="13">
        <v>45918</v>
      </c>
      <c r="K440" s="22">
        <v>3</v>
      </c>
      <c r="L440" s="9" t="s">
        <v>721</v>
      </c>
      <c r="M440" s="26" t="s">
        <v>237</v>
      </c>
      <c r="N440" s="21"/>
    </row>
    <row r="441" spans="1:14" hidden="1" x14ac:dyDescent="0.25">
      <c r="A441" s="22">
        <v>144</v>
      </c>
      <c r="B441" s="12" t="s">
        <v>46</v>
      </c>
      <c r="C441" s="9" t="s">
        <v>156</v>
      </c>
      <c r="D441" s="9" t="s">
        <v>16</v>
      </c>
      <c r="E441" s="13"/>
      <c r="F441" s="9"/>
      <c r="G441" s="9"/>
      <c r="H441" s="31"/>
      <c r="I441" s="9"/>
      <c r="J441" s="23">
        <v>45918</v>
      </c>
      <c r="K441" s="22">
        <v>3</v>
      </c>
      <c r="L441" s="9" t="s">
        <v>721</v>
      </c>
      <c r="M441" s="26" t="s">
        <v>237</v>
      </c>
      <c r="N441" s="21"/>
    </row>
    <row r="442" spans="1:14" x14ac:dyDescent="0.25">
      <c r="A442" s="9">
        <v>89</v>
      </c>
      <c r="B442" s="12" t="s">
        <v>37</v>
      </c>
      <c r="C442" s="18" t="s">
        <v>79</v>
      </c>
      <c r="D442" s="19" t="s">
        <v>16</v>
      </c>
      <c r="E442" s="25"/>
      <c r="F442" s="22"/>
      <c r="G442" s="22"/>
      <c r="H442" s="22"/>
      <c r="I442" s="9"/>
      <c r="J442" s="23">
        <v>45918</v>
      </c>
      <c r="K442" s="22">
        <v>3</v>
      </c>
      <c r="L442" s="9" t="s">
        <v>721</v>
      </c>
      <c r="M442" s="22" t="s">
        <v>237</v>
      </c>
      <c r="N442" s="21"/>
    </row>
    <row r="443" spans="1:14" hidden="1" x14ac:dyDescent="0.25">
      <c r="A443" s="9">
        <v>54</v>
      </c>
      <c r="B443" s="12" t="s">
        <v>84</v>
      </c>
      <c r="C443" s="89" t="s">
        <v>85</v>
      </c>
      <c r="D443" s="19" t="s">
        <v>16</v>
      </c>
      <c r="E443" s="106"/>
      <c r="F443" s="22"/>
      <c r="G443" s="22"/>
      <c r="H443" s="22"/>
      <c r="I443" s="9"/>
      <c r="J443" s="13">
        <v>45918</v>
      </c>
      <c r="K443" s="9">
        <v>3</v>
      </c>
      <c r="L443" s="9" t="s">
        <v>721</v>
      </c>
      <c r="M443" s="9" t="s">
        <v>237</v>
      </c>
      <c r="N443" s="21"/>
    </row>
    <row r="444" spans="1:14" hidden="1" x14ac:dyDescent="0.25">
      <c r="A444" s="15" t="s">
        <v>32</v>
      </c>
      <c r="B444" s="16" t="s">
        <v>33</v>
      </c>
      <c r="C444" s="87" t="s">
        <v>34</v>
      </c>
      <c r="D444" s="19" t="s">
        <v>16</v>
      </c>
      <c r="E444" s="88"/>
      <c r="F444" s="15"/>
      <c r="G444" s="9"/>
      <c r="H444" s="9"/>
      <c r="I444" s="9"/>
      <c r="J444" s="13">
        <v>45918</v>
      </c>
      <c r="K444" s="9">
        <v>3</v>
      </c>
      <c r="L444" s="9" t="s">
        <v>721</v>
      </c>
      <c r="M444" s="9" t="s">
        <v>237</v>
      </c>
      <c r="N444" s="21"/>
    </row>
    <row r="445" spans="1:14" hidden="1" x14ac:dyDescent="0.25">
      <c r="A445" s="22">
        <v>145</v>
      </c>
      <c r="B445" s="12" t="s">
        <v>82</v>
      </c>
      <c r="C445" s="9" t="s">
        <v>83</v>
      </c>
      <c r="D445" s="9" t="s">
        <v>16</v>
      </c>
      <c r="E445" s="23"/>
      <c r="F445" s="22"/>
      <c r="G445" s="22"/>
      <c r="H445" s="22"/>
      <c r="I445" s="9"/>
      <c r="J445" s="13">
        <v>45930</v>
      </c>
      <c r="K445" s="22">
        <v>32</v>
      </c>
      <c r="L445" s="26" t="s">
        <v>205</v>
      </c>
      <c r="M445" s="26" t="s">
        <v>206</v>
      </c>
      <c r="N445" s="9" t="s">
        <v>554</v>
      </c>
    </row>
    <row r="446" spans="1:14" hidden="1" x14ac:dyDescent="0.25">
      <c r="A446" s="22">
        <v>145</v>
      </c>
      <c r="B446" s="12" t="s">
        <v>82</v>
      </c>
      <c r="C446" s="9" t="s">
        <v>83</v>
      </c>
      <c r="D446" s="9" t="s">
        <v>16</v>
      </c>
      <c r="E446" s="23"/>
      <c r="F446" s="22"/>
      <c r="G446" s="22"/>
      <c r="H446" s="22"/>
      <c r="I446" s="9"/>
      <c r="J446" s="13">
        <v>45930</v>
      </c>
      <c r="K446" s="22">
        <v>15</v>
      </c>
      <c r="L446" s="26" t="s">
        <v>205</v>
      </c>
      <c r="M446" s="26" t="s">
        <v>206</v>
      </c>
      <c r="N446" s="9" t="s">
        <v>683</v>
      </c>
    </row>
    <row r="447" spans="1:14" hidden="1" x14ac:dyDescent="0.25">
      <c r="A447" s="22">
        <v>127</v>
      </c>
      <c r="B447" s="12" t="s">
        <v>48</v>
      </c>
      <c r="C447" s="35" t="s">
        <v>77</v>
      </c>
      <c r="D447" s="19" t="s">
        <v>16</v>
      </c>
      <c r="E447" s="20"/>
      <c r="F447" s="9"/>
      <c r="G447" s="9"/>
      <c r="H447" s="31"/>
      <c r="I447" s="9"/>
      <c r="J447" s="13">
        <v>45939</v>
      </c>
      <c r="K447" s="9">
        <v>5</v>
      </c>
      <c r="L447" s="9" t="s">
        <v>205</v>
      </c>
      <c r="M447" s="26" t="s">
        <v>206</v>
      </c>
      <c r="N447" s="189" t="s">
        <v>561</v>
      </c>
    </row>
    <row r="448" spans="1:14" hidden="1" x14ac:dyDescent="0.25">
      <c r="A448" s="9">
        <v>75</v>
      </c>
      <c r="B448" s="12" t="s">
        <v>107</v>
      </c>
      <c r="C448" s="18" t="s">
        <v>108</v>
      </c>
      <c r="D448" s="19" t="s">
        <v>104</v>
      </c>
      <c r="E448" s="20"/>
      <c r="F448" s="9"/>
      <c r="G448" s="31"/>
      <c r="H448" s="31"/>
      <c r="I448" s="9"/>
      <c r="J448" s="13">
        <v>45939</v>
      </c>
      <c r="K448" s="9">
        <v>2</v>
      </c>
      <c r="L448" s="9" t="s">
        <v>205</v>
      </c>
      <c r="M448" s="26" t="s">
        <v>206</v>
      </c>
      <c r="N448" s="9" t="s">
        <v>687</v>
      </c>
    </row>
    <row r="449" spans="1:14" hidden="1" x14ac:dyDescent="0.25">
      <c r="A449" s="9">
        <v>110</v>
      </c>
      <c r="B449" s="12" t="s">
        <v>107</v>
      </c>
      <c r="C449" s="18" t="s">
        <v>115</v>
      </c>
      <c r="D449" s="19" t="s">
        <v>113</v>
      </c>
      <c r="E449" s="20"/>
      <c r="F449" s="9"/>
      <c r="G449" s="31"/>
      <c r="H449" s="31"/>
      <c r="I449" s="9"/>
      <c r="J449" s="13">
        <v>45939</v>
      </c>
      <c r="K449" s="9">
        <v>4</v>
      </c>
      <c r="L449" s="9" t="s">
        <v>205</v>
      </c>
      <c r="M449" s="26" t="s">
        <v>206</v>
      </c>
      <c r="N449" s="9" t="s">
        <v>687</v>
      </c>
    </row>
    <row r="450" spans="1:14" hidden="1" x14ac:dyDescent="0.25">
      <c r="A450" s="229">
        <v>186</v>
      </c>
      <c r="B450" s="230" t="s">
        <v>109</v>
      </c>
      <c r="C450" s="231" t="s">
        <v>176</v>
      </c>
      <c r="D450" s="26" t="s">
        <v>104</v>
      </c>
      <c r="E450" s="51"/>
      <c r="F450" s="26"/>
      <c r="G450" s="49"/>
      <c r="H450" s="49"/>
      <c r="I450" s="19"/>
      <c r="J450" s="51">
        <v>45939</v>
      </c>
      <c r="K450" s="26">
        <v>11</v>
      </c>
      <c r="L450" s="9" t="s">
        <v>205</v>
      </c>
      <c r="M450" s="26" t="s">
        <v>206</v>
      </c>
      <c r="N450" s="26" t="s">
        <v>688</v>
      </c>
    </row>
    <row r="451" spans="1:14" hidden="1" x14ac:dyDescent="0.25">
      <c r="A451" s="22">
        <v>145</v>
      </c>
      <c r="B451" s="12" t="s">
        <v>82</v>
      </c>
      <c r="C451" s="9" t="s">
        <v>83</v>
      </c>
      <c r="D451" s="9" t="s">
        <v>16</v>
      </c>
      <c r="E451" s="23"/>
      <c r="F451" s="22"/>
      <c r="G451" s="22"/>
      <c r="H451" s="22"/>
      <c r="I451" s="9"/>
      <c r="J451" s="13">
        <v>45939</v>
      </c>
      <c r="K451" s="22">
        <v>14</v>
      </c>
      <c r="L451" s="26" t="s">
        <v>205</v>
      </c>
      <c r="M451" s="26" t="s">
        <v>206</v>
      </c>
      <c r="N451" s="9" t="s">
        <v>554</v>
      </c>
    </row>
    <row r="452" spans="1:14" hidden="1" x14ac:dyDescent="0.25">
      <c r="A452" s="9">
        <v>73</v>
      </c>
      <c r="B452" s="12" t="s">
        <v>102</v>
      </c>
      <c r="C452" s="9" t="s">
        <v>103</v>
      </c>
      <c r="D452" s="7" t="s">
        <v>104</v>
      </c>
      <c r="E452" s="13"/>
      <c r="F452" s="9"/>
      <c r="G452" s="31"/>
      <c r="H452" s="31"/>
      <c r="I452" s="9"/>
      <c r="J452" s="13">
        <v>45946</v>
      </c>
      <c r="K452" s="9">
        <v>1</v>
      </c>
      <c r="L452" s="9" t="s">
        <v>721</v>
      </c>
      <c r="M452" s="9" t="s">
        <v>702</v>
      </c>
      <c r="N452" s="12"/>
    </row>
    <row r="453" spans="1:14" hidden="1" x14ac:dyDescent="0.25">
      <c r="A453" s="22" t="s">
        <v>160</v>
      </c>
      <c r="B453" s="12" t="s">
        <v>161</v>
      </c>
      <c r="C453" s="15" t="s">
        <v>162</v>
      </c>
      <c r="D453" s="9" t="s">
        <v>548</v>
      </c>
      <c r="E453" s="13"/>
      <c r="F453" s="9"/>
      <c r="G453" s="9"/>
      <c r="H453" s="31"/>
      <c r="I453" s="9"/>
      <c r="J453" s="13">
        <v>45953</v>
      </c>
      <c r="K453" s="9">
        <v>1</v>
      </c>
      <c r="L453" s="9" t="s">
        <v>361</v>
      </c>
      <c r="M453" s="9" t="s">
        <v>712</v>
      </c>
      <c r="N453" s="12"/>
    </row>
    <row r="454" spans="1:14" hidden="1" x14ac:dyDescent="0.25">
      <c r="A454" s="22" t="s">
        <v>163</v>
      </c>
      <c r="B454" s="12" t="s">
        <v>164</v>
      </c>
      <c r="C454" s="15" t="s">
        <v>165</v>
      </c>
      <c r="D454" s="9" t="s">
        <v>548</v>
      </c>
      <c r="E454" s="13"/>
      <c r="F454" s="9"/>
      <c r="G454" s="9"/>
      <c r="H454" s="31"/>
      <c r="I454" s="9"/>
      <c r="J454" s="13">
        <v>45953</v>
      </c>
      <c r="K454" s="9">
        <v>1</v>
      </c>
      <c r="L454" s="9" t="s">
        <v>361</v>
      </c>
      <c r="M454" s="9" t="s">
        <v>712</v>
      </c>
      <c r="N454" s="12"/>
    </row>
    <row r="455" spans="1:14" hidden="1" x14ac:dyDescent="0.25">
      <c r="A455" s="41">
        <v>144</v>
      </c>
      <c r="B455" s="42" t="s">
        <v>46</v>
      </c>
      <c r="C455" s="32" t="s">
        <v>156</v>
      </c>
      <c r="D455" s="32" t="s">
        <v>16</v>
      </c>
      <c r="E455" s="73"/>
      <c r="F455" s="32"/>
      <c r="G455" s="32"/>
      <c r="H455" s="36"/>
      <c r="I455" s="32"/>
      <c r="J455" s="190">
        <v>45967</v>
      </c>
      <c r="K455" s="41">
        <v>3</v>
      </c>
      <c r="L455" s="26" t="s">
        <v>205</v>
      </c>
      <c r="M455" s="32" t="s">
        <v>206</v>
      </c>
      <c r="N455" s="78" t="s">
        <v>713</v>
      </c>
    </row>
    <row r="456" spans="1:14" hidden="1" x14ac:dyDescent="0.25">
      <c r="A456" s="22">
        <v>142</v>
      </c>
      <c r="B456" s="12" t="s">
        <v>127</v>
      </c>
      <c r="C456" s="9" t="s">
        <v>128</v>
      </c>
      <c r="D456" s="9" t="s">
        <v>16</v>
      </c>
      <c r="E456" s="13"/>
      <c r="F456" s="9"/>
      <c r="G456" s="9"/>
      <c r="H456" s="31"/>
      <c r="I456" s="9"/>
      <c r="J456" s="13">
        <v>45967</v>
      </c>
      <c r="K456" s="9">
        <v>3</v>
      </c>
      <c r="L456" s="26" t="s">
        <v>205</v>
      </c>
      <c r="M456" s="32" t="s">
        <v>206</v>
      </c>
      <c r="N456" s="9" t="s">
        <v>222</v>
      </c>
    </row>
    <row r="457" spans="1:14" x14ac:dyDescent="0.25">
      <c r="A457" s="26">
        <v>180</v>
      </c>
      <c r="B457" s="21" t="s">
        <v>37</v>
      </c>
      <c r="C457" s="43" t="s">
        <v>38</v>
      </c>
      <c r="D457" s="26" t="s">
        <v>104</v>
      </c>
      <c r="E457" s="51"/>
      <c r="F457" s="26"/>
      <c r="G457" s="49"/>
      <c r="H457" s="49"/>
      <c r="I457" s="19"/>
      <c r="J457" s="51">
        <v>45971</v>
      </c>
      <c r="K457" s="26">
        <v>1</v>
      </c>
      <c r="L457" s="22" t="s">
        <v>682</v>
      </c>
      <c r="M457" s="26" t="s">
        <v>714</v>
      </c>
      <c r="N457" s="19" t="s">
        <v>197</v>
      </c>
    </row>
    <row r="458" spans="1:14" x14ac:dyDescent="0.25">
      <c r="A458" s="26">
        <v>180</v>
      </c>
      <c r="B458" s="21" t="s">
        <v>37</v>
      </c>
      <c r="C458" s="43" t="s">
        <v>38</v>
      </c>
      <c r="D458" s="26" t="s">
        <v>104</v>
      </c>
      <c r="E458" s="51"/>
      <c r="F458" s="26"/>
      <c r="G458" s="49"/>
      <c r="H458" s="49"/>
      <c r="I458" s="19"/>
      <c r="J458" s="51">
        <v>45988</v>
      </c>
      <c r="K458" s="26">
        <v>3</v>
      </c>
      <c r="L458" s="22" t="s">
        <v>682</v>
      </c>
      <c r="M458" s="26" t="s">
        <v>714</v>
      </c>
      <c r="N458" s="19" t="s">
        <v>197</v>
      </c>
    </row>
    <row r="459" spans="1:14" hidden="1" x14ac:dyDescent="0.25">
      <c r="A459" s="22">
        <v>129</v>
      </c>
      <c r="B459" s="12" t="s">
        <v>68</v>
      </c>
      <c r="C459" s="89" t="s">
        <v>69</v>
      </c>
      <c r="D459" s="19" t="s">
        <v>16</v>
      </c>
      <c r="E459" s="90"/>
      <c r="F459" s="9"/>
      <c r="G459" s="9"/>
      <c r="H459" s="31"/>
      <c r="I459" s="9"/>
      <c r="J459" s="13">
        <v>45981</v>
      </c>
      <c r="K459" s="9">
        <v>5</v>
      </c>
      <c r="L459" s="18" t="s">
        <v>205</v>
      </c>
      <c r="M459" s="32" t="s">
        <v>206</v>
      </c>
      <c r="N459" s="9" t="s">
        <v>716</v>
      </c>
    </row>
    <row r="460" spans="1:14" hidden="1" x14ac:dyDescent="0.25">
      <c r="A460" s="41">
        <v>127</v>
      </c>
      <c r="B460" s="42" t="s">
        <v>48</v>
      </c>
      <c r="C460" s="242" t="s">
        <v>77</v>
      </c>
      <c r="D460" s="53" t="s">
        <v>16</v>
      </c>
      <c r="E460" s="72"/>
      <c r="F460" s="32"/>
      <c r="G460" s="32"/>
      <c r="H460" s="36"/>
      <c r="I460" s="32"/>
      <c r="J460" s="73">
        <v>45981</v>
      </c>
      <c r="K460" s="32">
        <v>1</v>
      </c>
      <c r="L460" s="32" t="s">
        <v>205</v>
      </c>
      <c r="M460" s="32" t="s">
        <v>206</v>
      </c>
      <c r="N460" s="111" t="s">
        <v>716</v>
      </c>
    </row>
    <row r="461" spans="1:14" hidden="1" x14ac:dyDescent="0.25">
      <c r="A461" s="22">
        <v>196</v>
      </c>
      <c r="B461" s="12" t="s">
        <v>70</v>
      </c>
      <c r="C461" s="9" t="s">
        <v>177</v>
      </c>
      <c r="D461" s="22" t="s">
        <v>178</v>
      </c>
      <c r="E461" s="23"/>
      <c r="F461" s="22"/>
      <c r="G461" s="181"/>
      <c r="H461" s="181"/>
      <c r="I461" s="9"/>
      <c r="J461" s="23">
        <v>45981</v>
      </c>
      <c r="K461" s="22">
        <v>5</v>
      </c>
      <c r="L461" s="26" t="s">
        <v>205</v>
      </c>
      <c r="M461" s="32" t="s">
        <v>206</v>
      </c>
      <c r="N461" s="22" t="s">
        <v>687</v>
      </c>
    </row>
    <row r="462" spans="1:14" hidden="1" x14ac:dyDescent="0.25">
      <c r="A462" s="26">
        <v>187</v>
      </c>
      <c r="B462" s="52" t="s">
        <v>111</v>
      </c>
      <c r="C462" s="53" t="s">
        <v>116</v>
      </c>
      <c r="D462" s="26" t="s">
        <v>104</v>
      </c>
      <c r="E462" s="51"/>
      <c r="F462" s="26"/>
      <c r="G462" s="49"/>
      <c r="H462" s="49"/>
      <c r="I462" s="19"/>
      <c r="J462" s="51">
        <v>45981</v>
      </c>
      <c r="K462" s="26">
        <v>5</v>
      </c>
      <c r="L462" s="26" t="s">
        <v>205</v>
      </c>
      <c r="M462" s="243" t="s">
        <v>206</v>
      </c>
      <c r="N462" s="26" t="s">
        <v>687</v>
      </c>
    </row>
    <row r="463" spans="1:14" hidden="1" x14ac:dyDescent="0.25">
      <c r="A463" s="22" t="s">
        <v>160</v>
      </c>
      <c r="B463" s="12" t="s">
        <v>161</v>
      </c>
      <c r="C463" s="15" t="s">
        <v>162</v>
      </c>
      <c r="D463" s="9" t="s">
        <v>548</v>
      </c>
      <c r="E463" s="13"/>
      <c r="F463" s="9"/>
      <c r="G463" s="9"/>
      <c r="H463" s="31"/>
      <c r="I463" s="9"/>
      <c r="J463" s="13">
        <v>45994</v>
      </c>
      <c r="K463" s="9">
        <v>1</v>
      </c>
      <c r="L463" s="9" t="s">
        <v>361</v>
      </c>
      <c r="M463" s="9" t="s">
        <v>727</v>
      </c>
      <c r="N463" s="12"/>
    </row>
    <row r="464" spans="1:14" hidden="1" x14ac:dyDescent="0.25">
      <c r="A464" s="47">
        <v>158</v>
      </c>
      <c r="B464" s="12" t="s">
        <v>14</v>
      </c>
      <c r="C464" s="18" t="s">
        <v>122</v>
      </c>
      <c r="D464" s="19" t="s">
        <v>16</v>
      </c>
      <c r="E464" s="48"/>
      <c r="F464" s="26"/>
      <c r="G464" s="49"/>
      <c r="H464" s="49"/>
      <c r="I464" s="19"/>
      <c r="J464" s="51">
        <v>45994</v>
      </c>
      <c r="K464" s="26">
        <v>11</v>
      </c>
      <c r="L464" s="9" t="s">
        <v>205</v>
      </c>
      <c r="M464" s="9" t="s">
        <v>206</v>
      </c>
      <c r="N464" s="7" t="s">
        <v>197</v>
      </c>
    </row>
    <row r="465" spans="1:14" hidden="1" x14ac:dyDescent="0.25">
      <c r="A465" s="22">
        <v>137</v>
      </c>
      <c r="B465" s="12" t="s">
        <v>20</v>
      </c>
      <c r="C465" s="89" t="s">
        <v>129</v>
      </c>
      <c r="D465" s="19" t="s">
        <v>16</v>
      </c>
      <c r="E465" s="90"/>
      <c r="F465" s="9"/>
      <c r="G465" s="9"/>
      <c r="H465" s="31"/>
      <c r="I465" s="9"/>
      <c r="J465" s="73">
        <v>45994</v>
      </c>
      <c r="K465" s="32">
        <v>11</v>
      </c>
      <c r="L465" s="32" t="s">
        <v>205</v>
      </c>
      <c r="M465" s="9" t="s">
        <v>206</v>
      </c>
      <c r="N465" s="32" t="s">
        <v>197</v>
      </c>
    </row>
    <row r="466" spans="1:14" hidden="1" x14ac:dyDescent="0.25">
      <c r="A466" s="22">
        <v>161</v>
      </c>
      <c r="B466" s="12" t="s">
        <v>24</v>
      </c>
      <c r="C466" s="89" t="s">
        <v>25</v>
      </c>
      <c r="D466" s="19" t="s">
        <v>16</v>
      </c>
      <c r="E466" s="90"/>
      <c r="F466" s="9"/>
      <c r="G466" s="9"/>
      <c r="H466" s="9"/>
      <c r="I466" s="9"/>
      <c r="J466" s="13">
        <v>45994</v>
      </c>
      <c r="K466" s="9">
        <v>11</v>
      </c>
      <c r="L466" s="9" t="s">
        <v>205</v>
      </c>
      <c r="M466" s="9" t="s">
        <v>206</v>
      </c>
      <c r="N466" s="9" t="s">
        <v>197</v>
      </c>
    </row>
    <row r="467" spans="1:14" hidden="1" x14ac:dyDescent="0.25">
      <c r="A467" s="22">
        <v>140</v>
      </c>
      <c r="B467" s="12" t="s">
        <v>17</v>
      </c>
      <c r="C467" s="89" t="s">
        <v>18</v>
      </c>
      <c r="D467" s="19" t="s">
        <v>16</v>
      </c>
      <c r="E467" s="90"/>
      <c r="F467" s="9"/>
      <c r="G467" s="9"/>
      <c r="H467" s="31"/>
      <c r="I467" s="18"/>
      <c r="J467" s="84">
        <v>45994</v>
      </c>
      <c r="K467" s="19">
        <v>11</v>
      </c>
      <c r="L467" s="53" t="s">
        <v>205</v>
      </c>
      <c r="M467" s="9" t="s">
        <v>206</v>
      </c>
      <c r="N467" s="19" t="s">
        <v>197</v>
      </c>
    </row>
    <row r="468" spans="1:14" x14ac:dyDescent="0.25">
      <c r="A468" s="2" t="s">
        <v>184</v>
      </c>
      <c r="B468" s="52" t="s">
        <v>37</v>
      </c>
      <c r="C468" s="53" t="s">
        <v>38</v>
      </c>
      <c r="D468" s="10" t="s">
        <v>16</v>
      </c>
      <c r="E468" s="51"/>
      <c r="F468" s="26"/>
      <c r="G468" s="49"/>
      <c r="H468" s="26"/>
      <c r="I468" s="19"/>
      <c r="J468" s="51">
        <v>45994</v>
      </c>
      <c r="K468" s="26">
        <v>60</v>
      </c>
      <c r="L468" s="26" t="s">
        <v>205</v>
      </c>
      <c r="M468" s="9" t="s">
        <v>206</v>
      </c>
      <c r="N468" s="26" t="s">
        <v>197</v>
      </c>
    </row>
    <row r="469" spans="1:14" hidden="1" x14ac:dyDescent="0.25">
      <c r="A469" s="15" t="s">
        <v>32</v>
      </c>
      <c r="B469" s="16" t="s">
        <v>33</v>
      </c>
      <c r="C469" s="87" t="s">
        <v>34</v>
      </c>
      <c r="D469" s="19" t="s">
        <v>16</v>
      </c>
      <c r="E469" s="88"/>
      <c r="F469" s="15"/>
      <c r="G469" s="9"/>
      <c r="H469" s="9"/>
      <c r="I469" s="9"/>
      <c r="J469" s="13">
        <v>45994</v>
      </c>
      <c r="K469" s="9">
        <v>22</v>
      </c>
      <c r="L469" s="75" t="s">
        <v>205</v>
      </c>
      <c r="M469" s="9" t="s">
        <v>206</v>
      </c>
      <c r="N469" s="26" t="s">
        <v>197</v>
      </c>
    </row>
    <row r="470" spans="1:14" hidden="1" x14ac:dyDescent="0.25">
      <c r="A470" s="41">
        <v>144</v>
      </c>
      <c r="B470" s="42" t="s">
        <v>46</v>
      </c>
      <c r="C470" s="32" t="s">
        <v>156</v>
      </c>
      <c r="D470" s="32" t="s">
        <v>16</v>
      </c>
      <c r="E470" s="73"/>
      <c r="F470" s="32"/>
      <c r="G470" s="32"/>
      <c r="H470" s="36"/>
      <c r="I470" s="32"/>
      <c r="J470" s="190">
        <v>45994</v>
      </c>
      <c r="K470" s="41">
        <v>47</v>
      </c>
      <c r="L470" s="26" t="s">
        <v>205</v>
      </c>
      <c r="M470" s="32" t="s">
        <v>206</v>
      </c>
      <c r="N470" s="78" t="s">
        <v>222</v>
      </c>
    </row>
    <row r="471" spans="1:14" hidden="1" x14ac:dyDescent="0.25">
      <c r="A471" s="22">
        <v>142</v>
      </c>
      <c r="B471" s="12" t="s">
        <v>127</v>
      </c>
      <c r="C471" s="9" t="s">
        <v>128</v>
      </c>
      <c r="D471" s="9" t="s">
        <v>16</v>
      </c>
      <c r="E471" s="13"/>
      <c r="F471" s="9"/>
      <c r="G471" s="9"/>
      <c r="H471" s="31"/>
      <c r="I471" s="9"/>
      <c r="J471" s="13">
        <v>45994</v>
      </c>
      <c r="K471" s="9">
        <v>5</v>
      </c>
      <c r="L471" s="26" t="s">
        <v>205</v>
      </c>
      <c r="M471" s="32" t="s">
        <v>206</v>
      </c>
      <c r="N471" s="78" t="s">
        <v>222</v>
      </c>
    </row>
    <row r="472" spans="1:14" hidden="1" x14ac:dyDescent="0.25">
      <c r="A472" s="22">
        <v>129</v>
      </c>
      <c r="B472" s="12" t="s">
        <v>68</v>
      </c>
      <c r="C472" s="89" t="s">
        <v>69</v>
      </c>
      <c r="D472" s="19" t="s">
        <v>16</v>
      </c>
      <c r="E472" s="90"/>
      <c r="F472" s="9"/>
      <c r="G472" s="9"/>
      <c r="H472" s="31"/>
      <c r="I472" s="9"/>
      <c r="J472" s="13">
        <v>45994</v>
      </c>
      <c r="K472" s="9">
        <v>115</v>
      </c>
      <c r="L472" s="18" t="s">
        <v>205</v>
      </c>
      <c r="M472" s="32" t="s">
        <v>206</v>
      </c>
      <c r="N472" s="9" t="s">
        <v>728</v>
      </c>
    </row>
    <row r="473" spans="1:14" hidden="1" x14ac:dyDescent="0.25">
      <c r="A473" s="41">
        <v>145</v>
      </c>
      <c r="B473" s="42" t="s">
        <v>82</v>
      </c>
      <c r="C473" s="32" t="s">
        <v>83</v>
      </c>
      <c r="D473" s="32" t="s">
        <v>16</v>
      </c>
      <c r="E473" s="190"/>
      <c r="F473" s="41"/>
      <c r="G473" s="41"/>
      <c r="H473" s="41"/>
      <c r="I473" s="32"/>
      <c r="J473" s="73">
        <v>45994</v>
      </c>
      <c r="K473" s="41">
        <v>105</v>
      </c>
      <c r="L473" s="58" t="s">
        <v>205</v>
      </c>
      <c r="M473" s="58" t="s">
        <v>206</v>
      </c>
      <c r="N473" s="32" t="s">
        <v>728</v>
      </c>
    </row>
    <row r="474" spans="1:14" hidden="1" x14ac:dyDescent="0.25">
      <c r="A474" s="22">
        <v>132</v>
      </c>
      <c r="B474" s="16" t="s">
        <v>33</v>
      </c>
      <c r="C474" s="15" t="s">
        <v>34</v>
      </c>
      <c r="D474" s="31" t="s">
        <v>113</v>
      </c>
      <c r="E474" s="23"/>
      <c r="F474" s="22"/>
      <c r="G474" s="181"/>
      <c r="H474" s="181"/>
      <c r="I474" s="9"/>
      <c r="J474" s="23">
        <v>45838</v>
      </c>
      <c r="K474" s="22">
        <v>22</v>
      </c>
      <c r="L474" s="22" t="s">
        <v>205</v>
      </c>
      <c r="M474" s="22" t="s">
        <v>206</v>
      </c>
      <c r="N474" s="22" t="s">
        <v>197</v>
      </c>
    </row>
    <row r="475" spans="1:14" hidden="1" x14ac:dyDescent="0.25">
      <c r="A475" s="41">
        <v>145</v>
      </c>
      <c r="B475" s="42" t="s">
        <v>82</v>
      </c>
      <c r="C475" s="32" t="s">
        <v>83</v>
      </c>
      <c r="D475" s="32" t="s">
        <v>16</v>
      </c>
      <c r="E475" s="190"/>
      <c r="F475" s="41"/>
      <c r="G475" s="41"/>
      <c r="H475" s="41"/>
      <c r="I475" s="32"/>
      <c r="J475" s="73">
        <v>45999</v>
      </c>
      <c r="K475" s="41">
        <v>10</v>
      </c>
      <c r="L475" s="58" t="s">
        <v>205</v>
      </c>
      <c r="M475" s="58" t="s">
        <v>206</v>
      </c>
      <c r="N475" s="32" t="s">
        <v>738</v>
      </c>
    </row>
    <row r="476" spans="1:14" hidden="1" x14ac:dyDescent="0.25">
      <c r="A476" s="22">
        <v>87</v>
      </c>
      <c r="B476" s="12" t="s">
        <v>138</v>
      </c>
      <c r="C476" s="18" t="s">
        <v>139</v>
      </c>
      <c r="D476" s="19" t="s">
        <v>16</v>
      </c>
      <c r="E476" s="20"/>
      <c r="F476" s="9"/>
      <c r="G476" s="9"/>
      <c r="H476" s="31"/>
      <c r="I476" s="9"/>
      <c r="J476" s="13">
        <v>45999</v>
      </c>
      <c r="K476" s="9">
        <v>6</v>
      </c>
      <c r="L476" s="9" t="s">
        <v>205</v>
      </c>
      <c r="M476" s="9" t="s">
        <v>206</v>
      </c>
      <c r="N476" s="9" t="s">
        <v>738</v>
      </c>
    </row>
    <row r="477" spans="1:14" hidden="1" x14ac:dyDescent="0.25">
      <c r="A477" s="22">
        <v>137</v>
      </c>
      <c r="B477" s="12" t="s">
        <v>20</v>
      </c>
      <c r="C477" s="89" t="s">
        <v>129</v>
      </c>
      <c r="D477" s="19" t="s">
        <v>16</v>
      </c>
      <c r="E477" s="90"/>
      <c r="F477" s="9"/>
      <c r="G477" s="9"/>
      <c r="H477" s="31"/>
      <c r="I477" s="9"/>
      <c r="J477" s="73">
        <v>45999</v>
      </c>
      <c r="K477" s="32">
        <v>44</v>
      </c>
      <c r="L477" s="32" t="s">
        <v>205</v>
      </c>
      <c r="M477" s="9" t="s">
        <v>206</v>
      </c>
      <c r="N477" s="32" t="s">
        <v>197</v>
      </c>
    </row>
    <row r="478" spans="1:14" hidden="1" x14ac:dyDescent="0.25">
      <c r="A478" s="22">
        <v>161</v>
      </c>
      <c r="B478" s="12" t="s">
        <v>24</v>
      </c>
      <c r="C478" s="89" t="s">
        <v>25</v>
      </c>
      <c r="D478" s="19" t="s">
        <v>16</v>
      </c>
      <c r="E478" s="90"/>
      <c r="F478" s="9"/>
      <c r="G478" s="9"/>
      <c r="H478" s="9"/>
      <c r="I478" s="9"/>
      <c r="J478" s="13">
        <v>45999</v>
      </c>
      <c r="K478" s="9">
        <v>44</v>
      </c>
      <c r="L478" s="9" t="s">
        <v>205</v>
      </c>
      <c r="M478" s="9" t="s">
        <v>206</v>
      </c>
      <c r="N478" s="9" t="s">
        <v>197</v>
      </c>
    </row>
    <row r="479" spans="1:14" hidden="1" x14ac:dyDescent="0.25">
      <c r="A479" s="22">
        <v>159</v>
      </c>
      <c r="B479" s="12" t="s">
        <v>17</v>
      </c>
      <c r="C479" s="89" t="s">
        <v>18</v>
      </c>
      <c r="D479" s="19" t="s">
        <v>16</v>
      </c>
      <c r="E479" s="90"/>
      <c r="F479" s="9"/>
      <c r="G479" s="9"/>
      <c r="H479" s="31"/>
      <c r="I479" s="18"/>
      <c r="J479" s="84">
        <v>45999</v>
      </c>
      <c r="K479" s="19">
        <v>42</v>
      </c>
      <c r="L479" s="53" t="s">
        <v>205</v>
      </c>
      <c r="M479" s="9" t="s">
        <v>206</v>
      </c>
      <c r="N479" s="19" t="s">
        <v>197</v>
      </c>
    </row>
    <row r="480" spans="1:14" hidden="1" x14ac:dyDescent="0.25">
      <c r="A480" s="26">
        <v>216</v>
      </c>
      <c r="B480" s="56" t="s">
        <v>33</v>
      </c>
      <c r="C480" s="61" t="s">
        <v>34</v>
      </c>
      <c r="D480" s="19" t="s">
        <v>104</v>
      </c>
      <c r="E480" s="51"/>
      <c r="F480" s="26"/>
      <c r="G480" s="49"/>
      <c r="H480" s="26"/>
      <c r="I480" s="19"/>
      <c r="J480" s="51">
        <v>45999</v>
      </c>
      <c r="K480" s="26">
        <v>88</v>
      </c>
      <c r="L480" s="26" t="s">
        <v>205</v>
      </c>
      <c r="M480" s="26" t="s">
        <v>206</v>
      </c>
      <c r="N480" s="26" t="s">
        <v>197</v>
      </c>
    </row>
    <row r="481" spans="1:14" hidden="1" x14ac:dyDescent="0.25">
      <c r="A481" s="47">
        <v>158</v>
      </c>
      <c r="B481" s="12" t="s">
        <v>14</v>
      </c>
      <c r="C481" s="18" t="s">
        <v>122</v>
      </c>
      <c r="D481" s="19" t="s">
        <v>16</v>
      </c>
      <c r="E481" s="48"/>
      <c r="F481" s="26"/>
      <c r="G481" s="49"/>
      <c r="H481" s="49"/>
      <c r="I481" s="19"/>
      <c r="J481" s="51">
        <v>45999</v>
      </c>
      <c r="K481" s="26">
        <v>42</v>
      </c>
      <c r="L481" s="9" t="s">
        <v>205</v>
      </c>
      <c r="M481" s="9" t="s">
        <v>206</v>
      </c>
      <c r="N481" s="7" t="s">
        <v>197</v>
      </c>
    </row>
    <row r="482" spans="1:14" x14ac:dyDescent="0.25">
      <c r="A482" s="26">
        <v>214</v>
      </c>
      <c r="B482" s="52" t="s">
        <v>37</v>
      </c>
      <c r="C482" s="19" t="s">
        <v>38</v>
      </c>
      <c r="D482" s="26" t="s">
        <v>104</v>
      </c>
      <c r="E482" s="51"/>
      <c r="F482" s="26"/>
      <c r="G482" s="49"/>
      <c r="H482" s="26"/>
      <c r="I482" s="19"/>
      <c r="J482" s="51">
        <v>45999</v>
      </c>
      <c r="K482" s="26">
        <v>220</v>
      </c>
      <c r="L482" s="26" t="s">
        <v>205</v>
      </c>
      <c r="M482" s="26" t="s">
        <v>206</v>
      </c>
      <c r="N482" s="26" t="s">
        <v>197</v>
      </c>
    </row>
    <row r="483" spans="1:14" x14ac:dyDescent="0.25">
      <c r="A483" s="268" t="s">
        <v>184</v>
      </c>
      <c r="B483" s="230" t="s">
        <v>37</v>
      </c>
      <c r="C483" s="231" t="s">
        <v>38</v>
      </c>
      <c r="D483" s="269" t="s">
        <v>16</v>
      </c>
      <c r="E483" s="51"/>
      <c r="F483" s="26"/>
      <c r="G483" s="49"/>
      <c r="H483" s="26"/>
      <c r="I483" s="19"/>
      <c r="J483" s="51">
        <v>46008</v>
      </c>
      <c r="K483" s="26">
        <v>5</v>
      </c>
      <c r="L483" s="26" t="s">
        <v>205</v>
      </c>
      <c r="M483" s="9" t="s">
        <v>206</v>
      </c>
      <c r="N483" s="189" t="s">
        <v>214</v>
      </c>
    </row>
  </sheetData>
  <sheetProtection autoFilter="0"/>
  <autoFilter ref="A1:N482" xr:uid="{00000000-0009-0000-0000-000000000000}">
    <filterColumn colId="1">
      <filters>
        <filter val="Микросхема К1324УВ7У"/>
      </filters>
    </filterColumn>
  </autoFilter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A8E7F-95A1-4BF6-A733-DD3D21C93A76}">
  <sheetPr>
    <tabColor rgb="FF00B050"/>
  </sheetPr>
  <dimension ref="A1:UJ98"/>
  <sheetViews>
    <sheetView tabSelected="1" zoomScale="85" zoomScaleNormal="85" workbookViewId="0">
      <pane ySplit="1" topLeftCell="A28" activePane="bottomLeft" state="frozen"/>
      <selection pane="bottomLeft" activeCell="F47" sqref="F47"/>
    </sheetView>
  </sheetViews>
  <sheetFormatPr defaultColWidth="9.140625" defaultRowHeight="15" x14ac:dyDescent="0.25"/>
  <cols>
    <col min="1" max="1" width="22.42578125" style="224" customWidth="1"/>
    <col min="2" max="2" width="21.42578125" style="224" customWidth="1"/>
    <col min="3" max="3" width="28" style="224" customWidth="1"/>
    <col min="4" max="4" width="21.140625" style="224" customWidth="1"/>
    <col min="5" max="5" width="12.140625" style="224" customWidth="1"/>
    <col min="6" max="6" width="14.42578125" style="224" customWidth="1"/>
    <col min="7" max="7" width="12.42578125" style="224" bestFit="1" customWidth="1"/>
    <col min="8" max="8" width="10.42578125" style="224" customWidth="1"/>
    <col min="9" max="9" width="13.42578125" style="224" customWidth="1"/>
    <col min="10" max="10" width="18.42578125" style="224" customWidth="1"/>
    <col min="11" max="11" width="13.42578125" style="224" customWidth="1"/>
    <col min="12" max="12" width="42.85546875" style="224" customWidth="1"/>
    <col min="13" max="13" width="15.42578125" style="2" customWidth="1"/>
    <col min="14" max="14" width="12.42578125" style="2" customWidth="1"/>
    <col min="15" max="15" width="26.42578125" style="2" customWidth="1"/>
    <col min="16" max="16384" width="9.140625" style="224"/>
  </cols>
  <sheetData>
    <row r="1" spans="1:15" s="202" customFormat="1" ht="15.75" thickBot="1" x14ac:dyDescent="0.3">
      <c r="A1" s="4" t="s">
        <v>717</v>
      </c>
      <c r="B1" s="4" t="s">
        <v>0</v>
      </c>
      <c r="C1" s="4" t="s">
        <v>1</v>
      </c>
      <c r="D1" s="4" t="s">
        <v>2</v>
      </c>
      <c r="E1" s="4" t="s">
        <v>538</v>
      </c>
      <c r="F1" s="4" t="s">
        <v>3</v>
      </c>
      <c r="G1" s="4" t="s">
        <v>531</v>
      </c>
      <c r="H1" s="4" t="s">
        <v>5</v>
      </c>
      <c r="I1" s="4" t="s">
        <v>6</v>
      </c>
      <c r="J1" s="4" t="s">
        <v>7</v>
      </c>
      <c r="K1" s="4" t="s">
        <v>11</v>
      </c>
      <c r="L1" s="4" t="s">
        <v>12</v>
      </c>
      <c r="M1" s="4" t="s">
        <v>8</v>
      </c>
      <c r="N1" s="4" t="s">
        <v>9</v>
      </c>
      <c r="O1" s="4" t="s">
        <v>10</v>
      </c>
    </row>
    <row r="2" spans="1:15" s="202" customFormat="1" x14ac:dyDescent="0.25">
      <c r="A2" s="203" t="s">
        <v>391</v>
      </c>
      <c r="B2" s="203" t="s">
        <v>437</v>
      </c>
      <c r="C2" s="203" t="s">
        <v>579</v>
      </c>
      <c r="D2" s="203"/>
      <c r="E2" s="203" t="s">
        <v>540</v>
      </c>
      <c r="F2" s="204"/>
      <c r="G2" s="203">
        <v>4</v>
      </c>
      <c r="H2" s="203"/>
      <c r="I2" s="203"/>
      <c r="J2" s="203">
        <f>G2</f>
        <v>4</v>
      </c>
      <c r="K2" s="203"/>
      <c r="L2" s="203" t="s">
        <v>392</v>
      </c>
      <c r="M2" s="22"/>
      <c r="N2" s="22"/>
      <c r="O2" s="22"/>
    </row>
    <row r="3" spans="1:15" s="202" customFormat="1" x14ac:dyDescent="0.25">
      <c r="A3" s="206">
        <v>477</v>
      </c>
      <c r="B3" s="206" t="s">
        <v>581</v>
      </c>
      <c r="C3" s="203" t="s">
        <v>582</v>
      </c>
      <c r="D3" s="203" t="s">
        <v>583</v>
      </c>
      <c r="E3" s="203" t="s">
        <v>578</v>
      </c>
      <c r="F3" s="204">
        <v>45254</v>
      </c>
      <c r="G3" s="203">
        <v>10</v>
      </c>
      <c r="H3" s="203"/>
      <c r="I3" s="203"/>
      <c r="J3" s="203">
        <f t="shared" ref="J3:J28" si="0">G3</f>
        <v>10</v>
      </c>
      <c r="K3" s="203"/>
      <c r="L3" s="203" t="s">
        <v>393</v>
      </c>
      <c r="M3" s="22"/>
      <c r="N3" s="22"/>
      <c r="O3" s="22"/>
    </row>
    <row r="4" spans="1:15" s="202" customFormat="1" ht="16.350000000000001" customHeight="1" x14ac:dyDescent="0.25">
      <c r="A4" s="203">
        <v>479</v>
      </c>
      <c r="B4" s="206" t="s">
        <v>584</v>
      </c>
      <c r="C4" s="203" t="s">
        <v>585</v>
      </c>
      <c r="D4" s="203" t="s">
        <v>583</v>
      </c>
      <c r="E4" s="203" t="s">
        <v>578</v>
      </c>
      <c r="F4" s="204">
        <v>45254</v>
      </c>
      <c r="G4" s="203">
        <v>10</v>
      </c>
      <c r="H4" s="203"/>
      <c r="I4" s="203"/>
      <c r="J4" s="203">
        <f t="shared" si="0"/>
        <v>10</v>
      </c>
      <c r="K4" s="203"/>
      <c r="L4" s="203" t="s">
        <v>393</v>
      </c>
      <c r="M4" s="23"/>
      <c r="N4" s="22"/>
      <c r="O4" s="22"/>
    </row>
    <row r="5" spans="1:15" s="202" customFormat="1" ht="16.350000000000001" customHeight="1" x14ac:dyDescent="0.25">
      <c r="A5" s="206">
        <v>475</v>
      </c>
      <c r="B5" s="206" t="s">
        <v>586</v>
      </c>
      <c r="C5" s="203" t="s">
        <v>585</v>
      </c>
      <c r="D5" s="203" t="s">
        <v>583</v>
      </c>
      <c r="E5" s="203" t="s">
        <v>578</v>
      </c>
      <c r="F5" s="204">
        <v>45254</v>
      </c>
      <c r="G5" s="203">
        <v>9</v>
      </c>
      <c r="H5" s="203"/>
      <c r="I5" s="203"/>
      <c r="J5" s="203">
        <f t="shared" si="0"/>
        <v>9</v>
      </c>
      <c r="K5" s="203"/>
      <c r="L5" s="203" t="s">
        <v>393</v>
      </c>
      <c r="M5" s="22"/>
      <c r="N5" s="22"/>
      <c r="O5" s="22"/>
    </row>
    <row r="6" spans="1:15" s="202" customFormat="1" x14ac:dyDescent="0.25">
      <c r="A6" s="206">
        <v>478</v>
      </c>
      <c r="B6" s="206" t="s">
        <v>587</v>
      </c>
      <c r="C6" s="203" t="s">
        <v>588</v>
      </c>
      <c r="D6" s="203" t="s">
        <v>583</v>
      </c>
      <c r="E6" s="203" t="s">
        <v>578</v>
      </c>
      <c r="F6" s="204">
        <v>45254</v>
      </c>
      <c r="G6" s="203">
        <v>10</v>
      </c>
      <c r="H6" s="203"/>
      <c r="I6" s="203"/>
      <c r="J6" s="203">
        <f t="shared" si="0"/>
        <v>10</v>
      </c>
      <c r="K6" s="203"/>
      <c r="L6" s="203" t="s">
        <v>393</v>
      </c>
      <c r="M6" s="22"/>
      <c r="N6" s="22"/>
      <c r="O6" s="22"/>
    </row>
    <row r="7" spans="1:15" s="202" customFormat="1" x14ac:dyDescent="0.25">
      <c r="A7" s="203" t="s">
        <v>578</v>
      </c>
      <c r="B7" s="206" t="s">
        <v>589</v>
      </c>
      <c r="C7" s="203" t="s">
        <v>578</v>
      </c>
      <c r="D7" s="203" t="s">
        <v>578</v>
      </c>
      <c r="E7" s="203" t="s">
        <v>578</v>
      </c>
      <c r="F7" s="213">
        <v>45698</v>
      </c>
      <c r="G7" s="203">
        <v>9</v>
      </c>
      <c r="H7" s="203"/>
      <c r="I7" s="203"/>
      <c r="J7" s="203">
        <f t="shared" si="0"/>
        <v>9</v>
      </c>
      <c r="K7" s="203"/>
      <c r="L7" s="206" t="s">
        <v>394</v>
      </c>
      <c r="M7" s="22"/>
      <c r="N7" s="22"/>
      <c r="O7" s="22"/>
    </row>
    <row r="8" spans="1:15" s="202" customFormat="1" x14ac:dyDescent="0.25">
      <c r="A8" s="203">
        <v>10659</v>
      </c>
      <c r="B8" s="206" t="s">
        <v>590</v>
      </c>
      <c r="C8" s="203"/>
      <c r="D8" s="203"/>
      <c r="E8" s="203"/>
      <c r="F8" s="213">
        <v>45698</v>
      </c>
      <c r="G8" s="203">
        <v>9</v>
      </c>
      <c r="H8" s="203"/>
      <c r="I8" s="203"/>
      <c r="J8" s="203">
        <f>G8-N63</f>
        <v>0</v>
      </c>
      <c r="K8" s="203"/>
      <c r="L8" s="214" t="s">
        <v>396</v>
      </c>
      <c r="M8" s="22"/>
      <c r="N8" s="22"/>
      <c r="O8" s="22"/>
    </row>
    <row r="9" spans="1:15" s="202" customFormat="1" x14ac:dyDescent="0.25">
      <c r="A9" s="203">
        <v>10659</v>
      </c>
      <c r="B9" s="206" t="s">
        <v>591</v>
      </c>
      <c r="C9" s="203"/>
      <c r="D9" s="203"/>
      <c r="E9" s="203"/>
      <c r="F9" s="213">
        <v>45698</v>
      </c>
      <c r="G9" s="203">
        <v>8</v>
      </c>
      <c r="H9" s="203"/>
      <c r="I9" s="203"/>
      <c r="J9" s="203">
        <f t="shared" si="0"/>
        <v>8</v>
      </c>
      <c r="K9" s="203"/>
      <c r="L9" s="214" t="s">
        <v>443</v>
      </c>
      <c r="M9" s="22"/>
      <c r="N9" s="22"/>
      <c r="O9" s="22"/>
    </row>
    <row r="10" spans="1:15" s="202" customFormat="1" x14ac:dyDescent="0.25">
      <c r="A10" s="203">
        <v>10825</v>
      </c>
      <c r="B10" s="206" t="s">
        <v>592</v>
      </c>
      <c r="C10" s="203" t="s">
        <v>578</v>
      </c>
      <c r="D10" s="203" t="s">
        <v>578</v>
      </c>
      <c r="E10" s="203" t="s">
        <v>578</v>
      </c>
      <c r="F10" s="204">
        <v>45699</v>
      </c>
      <c r="G10" s="203">
        <v>5</v>
      </c>
      <c r="H10" s="203"/>
      <c r="I10" s="203"/>
      <c r="J10" s="203">
        <f t="shared" si="0"/>
        <v>5</v>
      </c>
      <c r="K10" s="203"/>
      <c r="L10" s="214" t="s">
        <v>593</v>
      </c>
      <c r="M10" s="22"/>
      <c r="N10" s="22"/>
      <c r="O10" s="22"/>
    </row>
    <row r="11" spans="1:15" s="202" customFormat="1" x14ac:dyDescent="0.25">
      <c r="A11" s="203" t="s">
        <v>578</v>
      </c>
      <c r="B11" s="206" t="s">
        <v>591</v>
      </c>
      <c r="C11" s="203" t="s">
        <v>578</v>
      </c>
      <c r="D11" s="203" t="s">
        <v>578</v>
      </c>
      <c r="E11" s="203" t="s">
        <v>578</v>
      </c>
      <c r="F11" s="213">
        <v>45698</v>
      </c>
      <c r="G11" s="203">
        <v>27</v>
      </c>
      <c r="H11" s="203"/>
      <c r="I11" s="203"/>
      <c r="J11" s="203">
        <f>G11</f>
        <v>27</v>
      </c>
      <c r="K11" s="203"/>
      <c r="L11" s="214" t="s">
        <v>594</v>
      </c>
      <c r="M11" s="22"/>
      <c r="N11" s="22"/>
      <c r="O11" s="22"/>
    </row>
    <row r="12" spans="1:15" s="202" customFormat="1" x14ac:dyDescent="0.25">
      <c r="A12" s="203" t="s">
        <v>595</v>
      </c>
      <c r="B12" s="203" t="s">
        <v>590</v>
      </c>
      <c r="C12" s="203"/>
      <c r="D12" s="203"/>
      <c r="E12" s="203"/>
      <c r="F12" s="204"/>
      <c r="G12" s="203">
        <v>8</v>
      </c>
      <c r="H12" s="203"/>
      <c r="I12" s="203"/>
      <c r="J12" s="203">
        <f>G12-N64</f>
        <v>0</v>
      </c>
      <c r="K12" s="203"/>
      <c r="L12" s="214" t="s">
        <v>596</v>
      </c>
      <c r="M12" s="22"/>
      <c r="N12" s="22"/>
      <c r="O12" s="22"/>
    </row>
    <row r="13" spans="1:15" s="202" customFormat="1" x14ac:dyDescent="0.25">
      <c r="A13" s="203" t="s">
        <v>595</v>
      </c>
      <c r="B13" s="203" t="s">
        <v>591</v>
      </c>
      <c r="C13" s="203" t="s">
        <v>597</v>
      </c>
      <c r="D13" s="203" t="s">
        <v>578</v>
      </c>
      <c r="E13" s="203" t="s">
        <v>578</v>
      </c>
      <c r="F13" s="204">
        <v>45654</v>
      </c>
      <c r="G13" s="203">
        <v>3</v>
      </c>
      <c r="H13" s="203"/>
      <c r="I13" s="203"/>
      <c r="J13" s="203">
        <f>G13-N65</f>
        <v>1</v>
      </c>
      <c r="K13" s="203"/>
      <c r="L13" s="214" t="s">
        <v>596</v>
      </c>
      <c r="M13" s="22"/>
      <c r="N13" s="22"/>
      <c r="O13" s="22"/>
    </row>
    <row r="14" spans="1:15" s="202" customFormat="1" x14ac:dyDescent="0.25">
      <c r="A14" s="206" t="s">
        <v>403</v>
      </c>
      <c r="B14" s="206" t="s">
        <v>598</v>
      </c>
      <c r="C14" s="203" t="s">
        <v>599</v>
      </c>
      <c r="D14" s="203" t="s">
        <v>600</v>
      </c>
      <c r="E14" s="203" t="s">
        <v>578</v>
      </c>
      <c r="F14" s="204">
        <v>45049</v>
      </c>
      <c r="G14" s="206">
        <v>8</v>
      </c>
      <c r="H14" s="203"/>
      <c r="I14" s="203">
        <v>8</v>
      </c>
      <c r="J14" s="203">
        <f>G14-I14</f>
        <v>0</v>
      </c>
      <c r="K14" s="203"/>
      <c r="L14" s="203"/>
      <c r="M14" s="23"/>
      <c r="N14" s="22"/>
      <c r="O14" s="22"/>
    </row>
    <row r="15" spans="1:15" s="202" customFormat="1" x14ac:dyDescent="0.25">
      <c r="A15" s="206" t="s">
        <v>407</v>
      </c>
      <c r="B15" s="206" t="s">
        <v>601</v>
      </c>
      <c r="C15" s="203" t="s">
        <v>602</v>
      </c>
      <c r="D15" s="203" t="s">
        <v>603</v>
      </c>
      <c r="E15" s="203" t="s">
        <v>578</v>
      </c>
      <c r="F15" s="204">
        <v>45523</v>
      </c>
      <c r="G15" s="203">
        <v>7</v>
      </c>
      <c r="H15" s="203"/>
      <c r="I15" s="203"/>
      <c r="J15" s="203">
        <f t="shared" si="0"/>
        <v>7</v>
      </c>
      <c r="K15" s="203"/>
      <c r="L15" s="203"/>
      <c r="M15" s="23"/>
      <c r="N15" s="22"/>
      <c r="O15" s="22"/>
    </row>
    <row r="16" spans="1:15" s="202" customFormat="1" x14ac:dyDescent="0.25">
      <c r="A16" s="206" t="s">
        <v>409</v>
      </c>
      <c r="B16" s="206" t="s">
        <v>737</v>
      </c>
      <c r="C16" s="203" t="s">
        <v>604</v>
      </c>
      <c r="D16" s="203" t="s">
        <v>578</v>
      </c>
      <c r="E16" s="203" t="s">
        <v>605</v>
      </c>
      <c r="F16" s="204">
        <v>45487</v>
      </c>
      <c r="G16" s="203">
        <v>3</v>
      </c>
      <c r="H16" s="203"/>
      <c r="I16" s="203"/>
      <c r="J16" s="203">
        <f t="shared" si="0"/>
        <v>3</v>
      </c>
      <c r="K16" s="203"/>
      <c r="L16" s="203"/>
      <c r="M16" s="22"/>
      <c r="N16" s="22"/>
      <c r="O16" s="22"/>
    </row>
    <row r="17" spans="1:15" s="202" customFormat="1" x14ac:dyDescent="0.25">
      <c r="A17" s="206" t="s">
        <v>411</v>
      </c>
      <c r="B17" s="206" t="s">
        <v>607</v>
      </c>
      <c r="C17" s="203" t="s">
        <v>578</v>
      </c>
      <c r="D17" s="203" t="s">
        <v>578</v>
      </c>
      <c r="E17" s="203" t="s">
        <v>540</v>
      </c>
      <c r="F17" s="204">
        <v>45644</v>
      </c>
      <c r="G17" s="203">
        <v>18</v>
      </c>
      <c r="H17" s="203"/>
      <c r="I17" s="203"/>
      <c r="J17" s="203">
        <v>18</v>
      </c>
      <c r="K17" s="203"/>
      <c r="L17" s="203">
        <v>4627</v>
      </c>
      <c r="M17" s="22"/>
      <c r="N17" s="22"/>
      <c r="O17" s="22"/>
    </row>
    <row r="18" spans="1:15" s="202" customFormat="1" x14ac:dyDescent="0.25">
      <c r="A18" s="206" t="s">
        <v>412</v>
      </c>
      <c r="B18" s="206" t="s">
        <v>607</v>
      </c>
      <c r="C18" s="203" t="s">
        <v>578</v>
      </c>
      <c r="D18" s="203" t="s">
        <v>578</v>
      </c>
      <c r="E18" s="203" t="s">
        <v>540</v>
      </c>
      <c r="F18" s="204">
        <v>45568</v>
      </c>
      <c r="G18" s="206">
        <v>3</v>
      </c>
      <c r="H18" s="203"/>
      <c r="I18" s="203"/>
      <c r="J18" s="203">
        <f t="shared" si="0"/>
        <v>3</v>
      </c>
      <c r="K18" s="203"/>
      <c r="L18" s="203" t="s">
        <v>608</v>
      </c>
      <c r="M18" s="22"/>
      <c r="N18" s="22"/>
      <c r="O18" s="22"/>
    </row>
    <row r="19" spans="1:15" s="202" customFormat="1" x14ac:dyDescent="0.25">
      <c r="A19" s="213">
        <v>45012</v>
      </c>
      <c r="B19" s="206" t="s">
        <v>452</v>
      </c>
      <c r="C19" s="203" t="s">
        <v>539</v>
      </c>
      <c r="D19" s="203" t="s">
        <v>578</v>
      </c>
      <c r="E19" s="203" t="s">
        <v>578</v>
      </c>
      <c r="F19" s="204" t="s">
        <v>578</v>
      </c>
      <c r="G19" s="206">
        <v>7</v>
      </c>
      <c r="H19" s="203"/>
      <c r="I19" s="203"/>
      <c r="J19" s="203">
        <f t="shared" si="0"/>
        <v>7</v>
      </c>
      <c r="K19" s="203"/>
      <c r="L19" s="203" t="s">
        <v>453</v>
      </c>
      <c r="M19" s="22"/>
      <c r="N19" s="22"/>
      <c r="O19" s="22"/>
    </row>
    <row r="20" spans="1:15" s="202" customFormat="1" x14ac:dyDescent="0.25">
      <c r="A20" s="213">
        <v>419</v>
      </c>
      <c r="B20" s="206" t="s">
        <v>452</v>
      </c>
      <c r="C20" s="203" t="s">
        <v>578</v>
      </c>
      <c r="D20" s="203"/>
      <c r="E20" s="203" t="s">
        <v>542</v>
      </c>
      <c r="F20" s="204" t="s">
        <v>578</v>
      </c>
      <c r="G20" s="206">
        <v>3</v>
      </c>
      <c r="H20" s="203"/>
      <c r="I20" s="203"/>
      <c r="J20" s="203">
        <f t="shared" si="0"/>
        <v>3</v>
      </c>
      <c r="K20" s="203"/>
      <c r="L20" s="203"/>
      <c r="M20" s="22"/>
      <c r="N20" s="22"/>
      <c r="O20" s="22"/>
    </row>
    <row r="21" spans="1:15" s="202" customFormat="1" x14ac:dyDescent="0.25">
      <c r="A21" s="213">
        <v>431</v>
      </c>
      <c r="B21" s="206" t="s">
        <v>452</v>
      </c>
      <c r="C21" s="203" t="s">
        <v>543</v>
      </c>
      <c r="D21" s="203" t="s">
        <v>578</v>
      </c>
      <c r="E21" s="203" t="s">
        <v>578</v>
      </c>
      <c r="F21" s="204" t="s">
        <v>578</v>
      </c>
      <c r="G21" s="206">
        <v>1</v>
      </c>
      <c r="H21" s="203"/>
      <c r="I21" s="203"/>
      <c r="J21" s="203">
        <f t="shared" si="0"/>
        <v>1</v>
      </c>
      <c r="K21" s="203"/>
      <c r="L21" s="203"/>
      <c r="M21" s="22"/>
      <c r="N21" s="22"/>
      <c r="O21" s="22"/>
    </row>
    <row r="22" spans="1:15" s="202" customFormat="1" x14ac:dyDescent="0.25">
      <c r="A22" s="213" t="s">
        <v>578</v>
      </c>
      <c r="B22" s="206" t="s">
        <v>454</v>
      </c>
      <c r="C22" s="203" t="s">
        <v>610</v>
      </c>
      <c r="D22" s="203" t="s">
        <v>578</v>
      </c>
      <c r="E22" s="203" t="s">
        <v>578</v>
      </c>
      <c r="F22" s="204">
        <v>45692</v>
      </c>
      <c r="G22" s="203">
        <f>7-K60</f>
        <v>7</v>
      </c>
      <c r="H22" s="203"/>
      <c r="I22" s="203"/>
      <c r="J22" s="203">
        <f>G22-N60</f>
        <v>4</v>
      </c>
      <c r="K22" s="203"/>
      <c r="L22" s="203" t="s">
        <v>611</v>
      </c>
      <c r="M22" s="22"/>
      <c r="N22" s="22"/>
      <c r="O22" s="22"/>
    </row>
    <row r="23" spans="1:15" s="202" customFormat="1" x14ac:dyDescent="0.25">
      <c r="A23" s="206" t="s">
        <v>414</v>
      </c>
      <c r="B23" s="206" t="s">
        <v>454</v>
      </c>
      <c r="C23" s="203" t="s">
        <v>578</v>
      </c>
      <c r="D23" s="203" t="s">
        <v>578</v>
      </c>
      <c r="E23" s="203" t="s">
        <v>578</v>
      </c>
      <c r="F23" s="204" t="s">
        <v>578</v>
      </c>
      <c r="G23" s="203">
        <f>3-K61</f>
        <v>3</v>
      </c>
      <c r="H23" s="203"/>
      <c r="I23" s="203"/>
      <c r="J23" s="203">
        <f>G23-N61</f>
        <v>0</v>
      </c>
      <c r="K23" s="203"/>
      <c r="L23" s="203"/>
      <c r="M23" s="22"/>
      <c r="N23" s="22"/>
      <c r="O23" s="22"/>
    </row>
    <row r="24" spans="1:15" s="202" customFormat="1" ht="16.5" customHeight="1" x14ac:dyDescent="0.25">
      <c r="A24" s="206" t="s">
        <v>415</v>
      </c>
      <c r="B24" s="206" t="s">
        <v>454</v>
      </c>
      <c r="C24" s="203" t="s">
        <v>610</v>
      </c>
      <c r="D24" s="203" t="s">
        <v>578</v>
      </c>
      <c r="E24" s="203" t="s">
        <v>578</v>
      </c>
      <c r="F24" s="204">
        <v>45692</v>
      </c>
      <c r="G24" s="203">
        <f>2-K62</f>
        <v>2</v>
      </c>
      <c r="H24" s="203"/>
      <c r="I24" s="203"/>
      <c r="J24" s="203">
        <f>G24-N62</f>
        <v>1</v>
      </c>
      <c r="K24" s="203"/>
      <c r="L24" s="203"/>
      <c r="M24" s="22"/>
      <c r="N24" s="22"/>
      <c r="O24" s="22"/>
    </row>
    <row r="25" spans="1:15" s="202" customFormat="1" x14ac:dyDescent="0.25">
      <c r="A25" s="206" t="s">
        <v>416</v>
      </c>
      <c r="B25" s="206" t="s">
        <v>455</v>
      </c>
      <c r="C25" s="203" t="s">
        <v>612</v>
      </c>
      <c r="D25" s="203" t="s">
        <v>544</v>
      </c>
      <c r="E25" s="203" t="s">
        <v>613</v>
      </c>
      <c r="F25" s="204">
        <v>45712</v>
      </c>
      <c r="G25" s="203">
        <v>11</v>
      </c>
      <c r="H25" s="203"/>
      <c r="I25" s="203"/>
      <c r="J25" s="203">
        <f t="shared" si="0"/>
        <v>11</v>
      </c>
      <c r="K25" s="203"/>
      <c r="L25" s="203"/>
      <c r="M25" s="22"/>
      <c r="N25" s="22"/>
      <c r="O25" s="22"/>
    </row>
    <row r="26" spans="1:15" s="202" customFormat="1" x14ac:dyDescent="0.25">
      <c r="A26" s="203" t="s">
        <v>578</v>
      </c>
      <c r="B26" s="206" t="s">
        <v>456</v>
      </c>
      <c r="C26" s="203" t="s">
        <v>614</v>
      </c>
      <c r="D26" s="203" t="s">
        <v>578</v>
      </c>
      <c r="E26" s="204">
        <v>332900</v>
      </c>
      <c r="F26" s="204">
        <v>45098</v>
      </c>
      <c r="G26" s="203">
        <v>1</v>
      </c>
      <c r="H26" s="203"/>
      <c r="I26" s="203"/>
      <c r="J26" s="203">
        <f t="shared" si="0"/>
        <v>1</v>
      </c>
      <c r="K26" s="203"/>
      <c r="L26" s="203" t="s">
        <v>615</v>
      </c>
      <c r="M26" s="22"/>
      <c r="N26" s="22"/>
      <c r="O26" s="22"/>
    </row>
    <row r="27" spans="1:15" s="202" customFormat="1" x14ac:dyDescent="0.25">
      <c r="A27" s="206" t="s">
        <v>578</v>
      </c>
      <c r="B27" s="206" t="s">
        <v>418</v>
      </c>
      <c r="C27" s="203" t="s">
        <v>578</v>
      </c>
      <c r="D27" s="203" t="s">
        <v>578</v>
      </c>
      <c r="E27" s="203" t="s">
        <v>578</v>
      </c>
      <c r="F27" s="204" t="s">
        <v>578</v>
      </c>
      <c r="G27" s="203">
        <v>51</v>
      </c>
      <c r="H27" s="203"/>
      <c r="I27" s="203"/>
      <c r="J27" s="203">
        <f>G27-N68-N74</f>
        <v>37</v>
      </c>
      <c r="K27" s="203"/>
      <c r="L27" s="203" t="s">
        <v>417</v>
      </c>
      <c r="M27" s="22"/>
      <c r="N27" s="22"/>
      <c r="O27" s="22"/>
    </row>
    <row r="28" spans="1:15" s="202" customFormat="1" x14ac:dyDescent="0.25">
      <c r="A28" s="206" t="s">
        <v>419</v>
      </c>
      <c r="B28" s="206" t="s">
        <v>457</v>
      </c>
      <c r="C28" s="203" t="s">
        <v>616</v>
      </c>
      <c r="D28" s="203" t="s">
        <v>578</v>
      </c>
      <c r="E28" s="203" t="s">
        <v>617</v>
      </c>
      <c r="F28" s="204">
        <v>45188</v>
      </c>
      <c r="G28" s="203">
        <v>1</v>
      </c>
      <c r="H28" s="203"/>
      <c r="I28" s="203"/>
      <c r="J28" s="203">
        <f t="shared" si="0"/>
        <v>1</v>
      </c>
      <c r="K28" s="203"/>
      <c r="L28" s="203"/>
      <c r="M28" s="22"/>
      <c r="N28" s="22"/>
      <c r="O28" s="22"/>
    </row>
    <row r="29" spans="1:15" s="202" customFormat="1" x14ac:dyDescent="0.25">
      <c r="A29" s="206" t="s">
        <v>618</v>
      </c>
      <c r="B29" s="206" t="s">
        <v>458</v>
      </c>
      <c r="C29" s="203" t="s">
        <v>558</v>
      </c>
      <c r="D29" s="203" t="s">
        <v>578</v>
      </c>
      <c r="E29" s="203" t="s">
        <v>605</v>
      </c>
      <c r="F29" s="204" t="s">
        <v>578</v>
      </c>
      <c r="G29" s="203">
        <v>1</v>
      </c>
      <c r="H29" s="203"/>
      <c r="I29" s="203"/>
      <c r="J29" s="203">
        <f t="shared" ref="J29:J34" si="1">G29</f>
        <v>1</v>
      </c>
      <c r="K29" s="203"/>
      <c r="L29" s="203"/>
      <c r="M29" s="22"/>
      <c r="N29" s="22"/>
      <c r="O29" s="22"/>
    </row>
    <row r="30" spans="1:15" s="202" customFormat="1" x14ac:dyDescent="0.25">
      <c r="A30" s="206" t="s">
        <v>619</v>
      </c>
      <c r="B30" s="206" t="s">
        <v>460</v>
      </c>
      <c r="C30" s="203" t="s">
        <v>620</v>
      </c>
      <c r="D30" s="203" t="s">
        <v>578</v>
      </c>
      <c r="E30" s="203" t="s">
        <v>621</v>
      </c>
      <c r="F30" s="204">
        <v>45709</v>
      </c>
      <c r="G30" s="203">
        <v>3</v>
      </c>
      <c r="H30" s="203"/>
      <c r="I30" s="203"/>
      <c r="J30" s="203">
        <f t="shared" si="1"/>
        <v>3</v>
      </c>
      <c r="K30" s="203"/>
      <c r="L30" s="203"/>
      <c r="M30" s="22"/>
      <c r="N30" s="22"/>
      <c r="O30" s="22"/>
    </row>
    <row r="31" spans="1:15" s="202" customFormat="1" x14ac:dyDescent="0.25">
      <c r="A31" s="206" t="s">
        <v>622</v>
      </c>
      <c r="B31" s="206" t="s">
        <v>461</v>
      </c>
      <c r="C31" s="203" t="s">
        <v>545</v>
      </c>
      <c r="D31" s="203" t="s">
        <v>578</v>
      </c>
      <c r="E31" s="203" t="s">
        <v>540</v>
      </c>
      <c r="F31" s="204" t="s">
        <v>578</v>
      </c>
      <c r="G31" s="203">
        <v>47</v>
      </c>
      <c r="H31" s="203"/>
      <c r="I31" s="203"/>
      <c r="J31" s="203">
        <f t="shared" si="1"/>
        <v>47</v>
      </c>
      <c r="K31" s="203"/>
      <c r="L31" s="203"/>
      <c r="M31" s="22"/>
      <c r="N31" s="22"/>
      <c r="O31" s="22"/>
    </row>
    <row r="32" spans="1:15" s="202" customFormat="1" x14ac:dyDescent="0.25">
      <c r="A32" s="206" t="s">
        <v>420</v>
      </c>
      <c r="B32" s="206" t="s">
        <v>452</v>
      </c>
      <c r="C32" s="203" t="s">
        <v>578</v>
      </c>
      <c r="D32" s="203" t="s">
        <v>578</v>
      </c>
      <c r="E32" s="203" t="s">
        <v>578</v>
      </c>
      <c r="F32" s="204" t="s">
        <v>578</v>
      </c>
      <c r="G32" s="203">
        <v>49</v>
      </c>
      <c r="H32" s="203"/>
      <c r="I32" s="203"/>
      <c r="J32" s="203">
        <f t="shared" si="1"/>
        <v>49</v>
      </c>
      <c r="K32" s="203"/>
      <c r="L32" s="203"/>
      <c r="M32" s="22"/>
      <c r="N32" s="22"/>
      <c r="O32" s="22"/>
    </row>
    <row r="33" spans="1:556" s="203" customFormat="1" ht="48.75" customHeight="1" x14ac:dyDescent="0.25">
      <c r="A33" s="219" t="s">
        <v>578</v>
      </c>
      <c r="B33" s="212" t="s">
        <v>625</v>
      </c>
      <c r="C33" s="219" t="s">
        <v>578</v>
      </c>
      <c r="D33" s="219" t="s">
        <v>578</v>
      </c>
      <c r="E33" s="219" t="s">
        <v>578</v>
      </c>
      <c r="F33" s="219" t="s">
        <v>578</v>
      </c>
      <c r="G33" s="206">
        <v>1</v>
      </c>
      <c r="H33" s="219"/>
      <c r="I33" s="219"/>
      <c r="J33" s="203">
        <f t="shared" si="1"/>
        <v>1</v>
      </c>
      <c r="K33" s="220"/>
      <c r="L33" s="221" t="s">
        <v>626</v>
      </c>
      <c r="M33" s="28"/>
      <c r="N33" s="28"/>
      <c r="O33" s="28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  <c r="AC33" s="202"/>
      <c r="AD33" s="202"/>
      <c r="AE33" s="202"/>
      <c r="AF33" s="202"/>
      <c r="AG33" s="202"/>
      <c r="AH33" s="202"/>
      <c r="AI33" s="202"/>
      <c r="AJ33" s="202"/>
      <c r="AK33" s="202"/>
      <c r="AL33" s="202"/>
      <c r="AM33" s="202"/>
      <c r="AN33" s="202"/>
      <c r="AO33" s="202"/>
      <c r="AP33" s="202"/>
      <c r="AQ33" s="202"/>
      <c r="AR33" s="202"/>
      <c r="AS33" s="202"/>
      <c r="AT33" s="202"/>
      <c r="AU33" s="202"/>
      <c r="AV33" s="202"/>
      <c r="AW33" s="202"/>
      <c r="AX33" s="202"/>
      <c r="AY33" s="202"/>
      <c r="AZ33" s="202"/>
      <c r="BA33" s="202"/>
      <c r="BB33" s="202"/>
      <c r="BC33" s="202"/>
      <c r="BD33" s="202"/>
      <c r="BE33" s="202"/>
      <c r="BF33" s="202"/>
      <c r="BG33" s="202"/>
      <c r="BH33" s="202"/>
      <c r="BI33" s="202"/>
      <c r="BJ33" s="202"/>
      <c r="BK33" s="202"/>
      <c r="BL33" s="202"/>
      <c r="BM33" s="202"/>
      <c r="BN33" s="202"/>
      <c r="BO33" s="202"/>
      <c r="BP33" s="202"/>
      <c r="BQ33" s="202"/>
      <c r="BR33" s="202"/>
      <c r="BS33" s="202"/>
      <c r="BT33" s="202"/>
      <c r="BU33" s="202"/>
      <c r="BV33" s="202"/>
      <c r="BW33" s="202"/>
      <c r="BX33" s="202"/>
      <c r="BY33" s="202"/>
      <c r="BZ33" s="202"/>
      <c r="CA33" s="202"/>
      <c r="CB33" s="202"/>
      <c r="CC33" s="202"/>
      <c r="CD33" s="202"/>
      <c r="CE33" s="202"/>
      <c r="CF33" s="202"/>
      <c r="CG33" s="202"/>
      <c r="CH33" s="202"/>
      <c r="CI33" s="202"/>
      <c r="CJ33" s="202"/>
      <c r="CK33" s="202"/>
      <c r="CL33" s="202"/>
      <c r="CM33" s="202"/>
      <c r="CN33" s="202"/>
      <c r="CO33" s="202"/>
      <c r="CP33" s="202"/>
      <c r="CQ33" s="202"/>
      <c r="CR33" s="202"/>
      <c r="CS33" s="202"/>
      <c r="CT33" s="202"/>
      <c r="CU33" s="202"/>
      <c r="CV33" s="202"/>
      <c r="CW33" s="202"/>
      <c r="CX33" s="202"/>
      <c r="CY33" s="202"/>
      <c r="CZ33" s="202"/>
      <c r="DA33" s="202"/>
      <c r="DB33" s="202"/>
      <c r="DC33" s="202"/>
      <c r="DD33" s="202"/>
      <c r="DE33" s="202"/>
      <c r="DF33" s="202"/>
      <c r="DG33" s="202"/>
      <c r="DH33" s="202"/>
      <c r="DI33" s="202"/>
      <c r="DJ33" s="202"/>
      <c r="DK33" s="202"/>
      <c r="DL33" s="202"/>
      <c r="DM33" s="202"/>
      <c r="DN33" s="202"/>
      <c r="DO33" s="202"/>
      <c r="DP33" s="202"/>
      <c r="DQ33" s="202"/>
      <c r="DR33" s="202"/>
      <c r="DS33" s="202"/>
      <c r="DT33" s="202"/>
      <c r="DU33" s="202"/>
      <c r="DV33" s="202"/>
      <c r="DW33" s="202"/>
      <c r="DX33" s="202"/>
      <c r="DY33" s="202"/>
      <c r="DZ33" s="202"/>
      <c r="EA33" s="202"/>
      <c r="EB33" s="202"/>
      <c r="EC33" s="202"/>
      <c r="ED33" s="202"/>
      <c r="EE33" s="202"/>
      <c r="EF33" s="202"/>
      <c r="EG33" s="202"/>
      <c r="EH33" s="202"/>
      <c r="EI33" s="202"/>
      <c r="EJ33" s="202"/>
      <c r="EK33" s="202"/>
      <c r="EL33" s="202"/>
      <c r="EM33" s="202"/>
      <c r="EN33" s="202"/>
      <c r="EO33" s="202"/>
      <c r="EP33" s="202"/>
      <c r="EQ33" s="202"/>
      <c r="ER33" s="202"/>
      <c r="ES33" s="202"/>
      <c r="ET33" s="202"/>
      <c r="EU33" s="202"/>
      <c r="EV33" s="202"/>
      <c r="EW33" s="202"/>
      <c r="EX33" s="202"/>
      <c r="EY33" s="202"/>
      <c r="EZ33" s="202"/>
      <c r="FA33" s="202"/>
      <c r="FB33" s="202"/>
      <c r="FC33" s="202"/>
      <c r="FD33" s="202"/>
      <c r="FE33" s="202"/>
      <c r="FF33" s="202"/>
      <c r="FG33" s="202"/>
      <c r="FH33" s="202"/>
      <c r="FI33" s="202"/>
      <c r="FJ33" s="202"/>
      <c r="FK33" s="202"/>
      <c r="FL33" s="202"/>
      <c r="FM33" s="202"/>
      <c r="FN33" s="202"/>
      <c r="FO33" s="202"/>
      <c r="FP33" s="202"/>
      <c r="FQ33" s="202"/>
      <c r="FR33" s="202"/>
      <c r="FS33" s="202"/>
      <c r="FT33" s="202"/>
      <c r="FU33" s="202"/>
      <c r="FV33" s="202"/>
      <c r="FW33" s="202"/>
      <c r="FX33" s="202"/>
      <c r="FY33" s="202"/>
      <c r="FZ33" s="202"/>
      <c r="GA33" s="202"/>
      <c r="GB33" s="202"/>
      <c r="GC33" s="202"/>
      <c r="GD33" s="202"/>
      <c r="GE33" s="202"/>
      <c r="GF33" s="202"/>
      <c r="GG33" s="202"/>
      <c r="GH33" s="202"/>
      <c r="GI33" s="202"/>
      <c r="GJ33" s="202"/>
      <c r="GK33" s="202"/>
      <c r="GL33" s="202"/>
      <c r="GM33" s="202"/>
      <c r="GN33" s="202"/>
      <c r="GO33" s="202"/>
      <c r="GP33" s="202"/>
      <c r="GQ33" s="202"/>
      <c r="GR33" s="202"/>
      <c r="GS33" s="202"/>
      <c r="GT33" s="202"/>
      <c r="GU33" s="202"/>
      <c r="GV33" s="202"/>
      <c r="GW33" s="202"/>
      <c r="GX33" s="202"/>
      <c r="GY33" s="202"/>
      <c r="GZ33" s="202"/>
      <c r="HA33" s="202"/>
      <c r="HB33" s="202"/>
      <c r="HC33" s="202"/>
      <c r="HD33" s="202"/>
      <c r="HE33" s="202"/>
      <c r="HF33" s="202"/>
      <c r="HG33" s="202"/>
      <c r="HH33" s="202"/>
      <c r="HI33" s="202"/>
      <c r="HJ33" s="202"/>
      <c r="HK33" s="202"/>
      <c r="HL33" s="202"/>
      <c r="HM33" s="202"/>
      <c r="HN33" s="202"/>
      <c r="HO33" s="202"/>
      <c r="HP33" s="202"/>
      <c r="HQ33" s="202"/>
      <c r="HR33" s="202"/>
      <c r="HS33" s="202"/>
      <c r="HT33" s="202"/>
      <c r="HU33" s="202"/>
      <c r="HV33" s="202"/>
      <c r="HW33" s="202"/>
      <c r="HX33" s="202"/>
      <c r="HY33" s="202"/>
      <c r="HZ33" s="202"/>
      <c r="IA33" s="202"/>
      <c r="IB33" s="202"/>
      <c r="IC33" s="202"/>
      <c r="ID33" s="202"/>
      <c r="IE33" s="202"/>
      <c r="IF33" s="202"/>
      <c r="IG33" s="202"/>
      <c r="IH33" s="202"/>
      <c r="II33" s="202"/>
      <c r="IJ33" s="202"/>
      <c r="IK33" s="202"/>
      <c r="IL33" s="202"/>
      <c r="IM33" s="202"/>
      <c r="IN33" s="202"/>
      <c r="IO33" s="202"/>
      <c r="IP33" s="202"/>
      <c r="IQ33" s="202"/>
      <c r="IR33" s="202"/>
      <c r="IS33" s="202"/>
      <c r="IT33" s="202"/>
      <c r="IU33" s="202"/>
      <c r="IV33" s="202"/>
      <c r="IW33" s="202"/>
      <c r="IX33" s="202"/>
      <c r="IY33" s="202"/>
      <c r="IZ33" s="202"/>
      <c r="JA33" s="202"/>
      <c r="JB33" s="202"/>
      <c r="JC33" s="202"/>
      <c r="JD33" s="202"/>
      <c r="JE33" s="202"/>
      <c r="JF33" s="202"/>
      <c r="JG33" s="202"/>
      <c r="JH33" s="202"/>
      <c r="JI33" s="202"/>
      <c r="JJ33" s="202"/>
      <c r="JK33" s="202"/>
      <c r="JL33" s="202"/>
      <c r="JM33" s="202"/>
      <c r="JN33" s="202"/>
      <c r="JO33" s="202"/>
      <c r="JP33" s="202"/>
      <c r="JQ33" s="202"/>
      <c r="JR33" s="202"/>
      <c r="JS33" s="202"/>
      <c r="JT33" s="202"/>
      <c r="JU33" s="202"/>
      <c r="JV33" s="202"/>
      <c r="JW33" s="202"/>
      <c r="JX33" s="202"/>
      <c r="JY33" s="202"/>
      <c r="JZ33" s="202"/>
      <c r="KA33" s="202"/>
      <c r="KB33" s="202"/>
      <c r="KC33" s="202"/>
      <c r="KD33" s="202"/>
      <c r="KE33" s="202"/>
      <c r="KF33" s="202"/>
      <c r="KG33" s="202"/>
      <c r="KH33" s="202"/>
      <c r="KI33" s="202"/>
      <c r="KJ33" s="202"/>
      <c r="KK33" s="202"/>
      <c r="KL33" s="202"/>
      <c r="KM33" s="202"/>
      <c r="KN33" s="202"/>
      <c r="KO33" s="202"/>
      <c r="KP33" s="202"/>
      <c r="KQ33" s="202"/>
      <c r="KR33" s="202"/>
      <c r="KS33" s="202"/>
      <c r="KT33" s="202"/>
      <c r="KU33" s="202"/>
      <c r="KV33" s="202"/>
      <c r="KW33" s="202"/>
      <c r="KX33" s="202"/>
      <c r="KY33" s="202"/>
      <c r="KZ33" s="202"/>
      <c r="LA33" s="202"/>
      <c r="LB33" s="202"/>
      <c r="LC33" s="202"/>
      <c r="LD33" s="202"/>
      <c r="LE33" s="202"/>
      <c r="LF33" s="202"/>
      <c r="LG33" s="202"/>
      <c r="LH33" s="202"/>
      <c r="LI33" s="202"/>
      <c r="LJ33" s="202"/>
      <c r="LK33" s="202"/>
      <c r="LL33" s="202"/>
      <c r="LM33" s="202"/>
      <c r="LN33" s="202"/>
      <c r="LO33" s="202"/>
      <c r="LP33" s="202"/>
      <c r="LQ33" s="202"/>
      <c r="LR33" s="202"/>
      <c r="LS33" s="202"/>
      <c r="LT33" s="202"/>
      <c r="LU33" s="202"/>
      <c r="LV33" s="202"/>
      <c r="LW33" s="202"/>
      <c r="LX33" s="202"/>
      <c r="LY33" s="202"/>
      <c r="LZ33" s="202"/>
      <c r="MA33" s="202"/>
      <c r="MB33" s="202"/>
      <c r="MC33" s="202"/>
      <c r="MD33" s="202"/>
      <c r="ME33" s="202"/>
      <c r="MF33" s="202"/>
      <c r="MG33" s="202"/>
      <c r="MH33" s="202"/>
      <c r="MI33" s="202"/>
      <c r="MJ33" s="202"/>
      <c r="MK33" s="202"/>
      <c r="ML33" s="202"/>
      <c r="MM33" s="202"/>
      <c r="MN33" s="202"/>
      <c r="MO33" s="202"/>
      <c r="MP33" s="202"/>
      <c r="MQ33" s="202"/>
      <c r="MR33" s="202"/>
      <c r="MS33" s="202"/>
      <c r="MT33" s="202"/>
      <c r="MU33" s="202"/>
      <c r="MV33" s="202"/>
      <c r="MW33" s="202"/>
      <c r="MX33" s="202"/>
      <c r="MY33" s="202"/>
      <c r="MZ33" s="202"/>
      <c r="NA33" s="202"/>
      <c r="NB33" s="202"/>
      <c r="NC33" s="202"/>
      <c r="ND33" s="202"/>
      <c r="NE33" s="202"/>
      <c r="NF33" s="202"/>
      <c r="NG33" s="202"/>
      <c r="NH33" s="202"/>
      <c r="NI33" s="202"/>
      <c r="NJ33" s="202"/>
      <c r="NK33" s="202"/>
      <c r="NL33" s="202"/>
      <c r="NM33" s="202"/>
      <c r="NN33" s="202"/>
      <c r="NO33" s="202"/>
      <c r="NP33" s="202"/>
      <c r="NQ33" s="202"/>
      <c r="NR33" s="202"/>
      <c r="NS33" s="202"/>
      <c r="NT33" s="202"/>
      <c r="NU33" s="202"/>
      <c r="NV33" s="202"/>
      <c r="NW33" s="202"/>
      <c r="NX33" s="202"/>
      <c r="NY33" s="202"/>
      <c r="NZ33" s="202"/>
      <c r="OA33" s="202"/>
      <c r="OB33" s="202"/>
      <c r="OC33" s="202"/>
      <c r="OD33" s="202"/>
      <c r="OE33" s="202"/>
      <c r="OF33" s="202"/>
      <c r="OG33" s="202"/>
      <c r="OH33" s="202"/>
      <c r="OI33" s="202"/>
      <c r="OJ33" s="202"/>
      <c r="OK33" s="202"/>
      <c r="OL33" s="202"/>
      <c r="OM33" s="202"/>
      <c r="ON33" s="202"/>
      <c r="OO33" s="202"/>
      <c r="OP33" s="202"/>
      <c r="OQ33" s="202"/>
      <c r="OR33" s="202"/>
      <c r="OS33" s="202"/>
      <c r="OT33" s="202"/>
      <c r="OU33" s="202"/>
      <c r="OV33" s="202"/>
      <c r="OW33" s="202"/>
      <c r="OX33" s="202"/>
      <c r="OY33" s="202"/>
      <c r="OZ33" s="202"/>
      <c r="PA33" s="202"/>
      <c r="PB33" s="202"/>
      <c r="PC33" s="202"/>
      <c r="PD33" s="202"/>
      <c r="PE33" s="202"/>
      <c r="PF33" s="202"/>
      <c r="PG33" s="202"/>
      <c r="PH33" s="202"/>
      <c r="PI33" s="202"/>
      <c r="PJ33" s="202"/>
      <c r="PK33" s="202"/>
      <c r="PL33" s="202"/>
      <c r="PM33" s="202"/>
      <c r="PN33" s="202"/>
      <c r="PO33" s="202"/>
      <c r="PP33" s="202"/>
      <c r="PQ33" s="202"/>
      <c r="PR33" s="202"/>
      <c r="PS33" s="202"/>
      <c r="PT33" s="202"/>
      <c r="PU33" s="202"/>
      <c r="PV33" s="202"/>
      <c r="PW33" s="202"/>
      <c r="PX33" s="202"/>
      <c r="PY33" s="202"/>
      <c r="PZ33" s="202"/>
      <c r="QA33" s="202"/>
      <c r="QB33" s="202"/>
      <c r="QC33" s="202"/>
      <c r="QD33" s="202"/>
      <c r="QE33" s="202"/>
      <c r="QF33" s="202"/>
      <c r="QG33" s="202"/>
      <c r="QH33" s="202"/>
      <c r="QI33" s="202"/>
      <c r="QJ33" s="202"/>
      <c r="QK33" s="202"/>
      <c r="QL33" s="202"/>
      <c r="QM33" s="202"/>
      <c r="QN33" s="202"/>
      <c r="QO33" s="202"/>
      <c r="QP33" s="202"/>
      <c r="QQ33" s="202"/>
      <c r="QR33" s="202"/>
      <c r="QS33" s="202"/>
      <c r="QT33" s="202"/>
      <c r="QU33" s="202"/>
      <c r="QV33" s="202"/>
      <c r="QW33" s="202"/>
      <c r="QX33" s="202"/>
      <c r="QY33" s="202"/>
      <c r="QZ33" s="202"/>
      <c r="RA33" s="202"/>
      <c r="RB33" s="202"/>
      <c r="RC33" s="202"/>
      <c r="RD33" s="202"/>
      <c r="RE33" s="202"/>
      <c r="RF33" s="202"/>
      <c r="RG33" s="202"/>
      <c r="RH33" s="202"/>
      <c r="RI33" s="202"/>
      <c r="RJ33" s="202"/>
      <c r="RK33" s="202"/>
      <c r="RL33" s="202"/>
      <c r="RM33" s="202"/>
      <c r="RN33" s="202"/>
      <c r="RO33" s="202"/>
      <c r="RP33" s="202"/>
      <c r="RQ33" s="202"/>
      <c r="RR33" s="202"/>
      <c r="RS33" s="202"/>
      <c r="RT33" s="202"/>
      <c r="RU33" s="202"/>
      <c r="RV33" s="202"/>
      <c r="RW33" s="202"/>
      <c r="RX33" s="202"/>
      <c r="RY33" s="202"/>
      <c r="RZ33" s="202"/>
      <c r="SA33" s="202"/>
      <c r="SB33" s="202"/>
      <c r="SC33" s="202"/>
      <c r="SD33" s="202"/>
      <c r="SE33" s="202"/>
      <c r="SF33" s="202"/>
      <c r="SG33" s="202"/>
      <c r="SH33" s="202"/>
      <c r="SI33" s="202"/>
      <c r="SJ33" s="202"/>
      <c r="SK33" s="202"/>
      <c r="SL33" s="202"/>
      <c r="SM33" s="202"/>
      <c r="SN33" s="202"/>
      <c r="SO33" s="202"/>
      <c r="SP33" s="202"/>
      <c r="SQ33" s="202"/>
      <c r="SR33" s="202"/>
      <c r="SS33" s="202"/>
      <c r="ST33" s="202"/>
      <c r="SU33" s="202"/>
      <c r="SV33" s="202"/>
      <c r="SW33" s="202"/>
      <c r="SX33" s="202"/>
      <c r="SY33" s="202"/>
      <c r="SZ33" s="202"/>
      <c r="TA33" s="202"/>
      <c r="TB33" s="202"/>
      <c r="TC33" s="202"/>
      <c r="TD33" s="202"/>
      <c r="TE33" s="202"/>
      <c r="TF33" s="202"/>
      <c r="TG33" s="202"/>
      <c r="TH33" s="202"/>
      <c r="TI33" s="202"/>
      <c r="TJ33" s="202"/>
      <c r="TK33" s="202"/>
      <c r="TL33" s="202"/>
      <c r="TM33" s="202"/>
      <c r="TN33" s="202"/>
      <c r="TO33" s="202"/>
      <c r="TP33" s="202"/>
      <c r="TQ33" s="202"/>
      <c r="TR33" s="202"/>
      <c r="TS33" s="202"/>
      <c r="TT33" s="202"/>
      <c r="TU33" s="202"/>
      <c r="TV33" s="202"/>
      <c r="TW33" s="202"/>
      <c r="TX33" s="202"/>
      <c r="TY33" s="202"/>
      <c r="TZ33" s="202"/>
      <c r="UA33" s="202"/>
      <c r="UB33" s="202"/>
      <c r="UC33" s="202"/>
      <c r="UD33" s="202"/>
      <c r="UE33" s="202"/>
      <c r="UF33" s="202"/>
      <c r="UG33" s="202"/>
      <c r="UH33" s="202"/>
      <c r="UI33" s="202"/>
      <c r="UJ33" s="202"/>
    </row>
    <row r="34" spans="1:556" s="202" customFormat="1" x14ac:dyDescent="0.25">
      <c r="A34" s="222" t="s">
        <v>557</v>
      </c>
      <c r="B34" s="222" t="s">
        <v>458</v>
      </c>
      <c r="C34" s="220" t="s">
        <v>558</v>
      </c>
      <c r="D34" s="220" t="s">
        <v>578</v>
      </c>
      <c r="E34" s="220" t="s">
        <v>540</v>
      </c>
      <c r="F34" s="223">
        <v>45826</v>
      </c>
      <c r="G34" s="222">
        <v>13</v>
      </c>
      <c r="H34" s="220"/>
      <c r="I34" s="220"/>
      <c r="J34" s="220">
        <f t="shared" si="1"/>
        <v>13</v>
      </c>
      <c r="K34" s="220"/>
      <c r="L34" s="220"/>
      <c r="M34" s="28"/>
      <c r="N34" s="28"/>
      <c r="O34" s="28"/>
    </row>
    <row r="35" spans="1:556" s="202" customFormat="1" x14ac:dyDescent="0.25">
      <c r="A35" s="206">
        <v>10901</v>
      </c>
      <c r="B35" s="206" t="s">
        <v>454</v>
      </c>
      <c r="C35" s="203" t="s">
        <v>560</v>
      </c>
      <c r="D35" s="203"/>
      <c r="E35" s="203"/>
      <c r="F35" s="204">
        <v>45834</v>
      </c>
      <c r="G35" s="206">
        <v>22</v>
      </c>
      <c r="H35" s="203">
        <v>1</v>
      </c>
      <c r="I35" s="203">
        <v>4</v>
      </c>
      <c r="J35" s="203">
        <f>G35-H35-I35</f>
        <v>17</v>
      </c>
      <c r="K35" s="203"/>
      <c r="L35" s="203"/>
      <c r="M35" s="22"/>
      <c r="N35" s="22"/>
      <c r="O35" s="22"/>
    </row>
    <row r="36" spans="1:556" s="202" customFormat="1" x14ac:dyDescent="0.25">
      <c r="A36" s="206">
        <v>10221</v>
      </c>
      <c r="B36" s="206" t="s">
        <v>454</v>
      </c>
      <c r="C36" s="203" t="s">
        <v>560</v>
      </c>
      <c r="D36" s="203"/>
      <c r="E36" s="203"/>
      <c r="F36" s="204">
        <v>45834</v>
      </c>
      <c r="G36" s="206">
        <v>7</v>
      </c>
      <c r="H36" s="203"/>
      <c r="I36" s="203"/>
      <c r="J36" s="203">
        <f>G36-H36-I36</f>
        <v>7</v>
      </c>
      <c r="K36" s="216"/>
      <c r="L36" s="216"/>
      <c r="M36" s="41"/>
      <c r="N36" s="41"/>
      <c r="O36" s="41"/>
    </row>
    <row r="37" spans="1:556" s="220" customFormat="1" x14ac:dyDescent="0.25">
      <c r="A37" s="222" t="s">
        <v>578</v>
      </c>
      <c r="B37" s="222" t="s">
        <v>569</v>
      </c>
      <c r="C37" s="220" t="s">
        <v>578</v>
      </c>
      <c r="D37" s="220" t="s">
        <v>578</v>
      </c>
      <c r="E37" s="220" t="s">
        <v>578</v>
      </c>
      <c r="F37" s="223">
        <v>45853</v>
      </c>
      <c r="G37" s="222">
        <v>4</v>
      </c>
      <c r="J37" s="220">
        <f>G37-H37-I37</f>
        <v>4</v>
      </c>
      <c r="L37" s="220" t="s">
        <v>570</v>
      </c>
      <c r="M37" s="28"/>
      <c r="N37" s="28"/>
      <c r="O37" s="28"/>
    </row>
    <row r="38" spans="1:556" s="203" customFormat="1" x14ac:dyDescent="0.25">
      <c r="A38" s="206" t="s">
        <v>465</v>
      </c>
      <c r="B38" s="206" t="s">
        <v>463</v>
      </c>
      <c r="C38" s="203" t="s">
        <v>537</v>
      </c>
      <c r="D38" s="203" t="s">
        <v>578</v>
      </c>
      <c r="E38" s="203" t="s">
        <v>676</v>
      </c>
      <c r="F38" s="204">
        <v>45915</v>
      </c>
      <c r="G38" s="206">
        <v>29</v>
      </c>
      <c r="J38" s="203">
        <f>G38-N69</f>
        <v>0</v>
      </c>
      <c r="L38" s="203" t="s">
        <v>669</v>
      </c>
      <c r="M38" s="22"/>
      <c r="N38" s="22"/>
      <c r="O38" s="22"/>
    </row>
    <row r="39" spans="1:556" s="202" customFormat="1" x14ac:dyDescent="0.25">
      <c r="A39" s="206" t="s">
        <v>675</v>
      </c>
      <c r="B39" s="206" t="s">
        <v>670</v>
      </c>
      <c r="C39" s="203" t="s">
        <v>673</v>
      </c>
      <c r="D39" s="203" t="s">
        <v>578</v>
      </c>
      <c r="E39" s="203" t="s">
        <v>674</v>
      </c>
      <c r="F39" s="204">
        <v>45915</v>
      </c>
      <c r="G39" s="206">
        <v>14</v>
      </c>
      <c r="H39" s="203">
        <v>1</v>
      </c>
      <c r="I39" s="203"/>
      <c r="J39" s="203">
        <f>G39-H39</f>
        <v>13</v>
      </c>
      <c r="K39" s="203"/>
      <c r="L39" s="203" t="s">
        <v>671</v>
      </c>
      <c r="M39" s="22"/>
      <c r="N39" s="22"/>
      <c r="O39" s="22"/>
    </row>
    <row r="40" spans="1:556" s="202" customFormat="1" x14ac:dyDescent="0.25">
      <c r="A40" s="206" t="s">
        <v>675</v>
      </c>
      <c r="B40" s="206" t="s">
        <v>670</v>
      </c>
      <c r="C40" s="203" t="s">
        <v>673</v>
      </c>
      <c r="D40" s="203" t="s">
        <v>578</v>
      </c>
      <c r="E40" s="203" t="s">
        <v>674</v>
      </c>
      <c r="F40" s="204">
        <v>45924</v>
      </c>
      <c r="G40" s="206">
        <v>5</v>
      </c>
      <c r="H40" s="203"/>
      <c r="I40" s="203"/>
      <c r="J40" s="203">
        <f t="shared" ref="J40:J43" si="2">G40-H40</f>
        <v>5</v>
      </c>
      <c r="K40" s="203"/>
      <c r="L40" s="203" t="s">
        <v>677</v>
      </c>
      <c r="M40" s="22"/>
      <c r="N40" s="22"/>
      <c r="O40" s="22"/>
    </row>
    <row r="41" spans="1:556" s="202" customFormat="1" x14ac:dyDescent="0.25">
      <c r="A41" s="206" t="s">
        <v>678</v>
      </c>
      <c r="B41" s="206" t="s">
        <v>670</v>
      </c>
      <c r="C41" s="203" t="s">
        <v>673</v>
      </c>
      <c r="D41" s="203" t="s">
        <v>578</v>
      </c>
      <c r="E41" s="203" t="s">
        <v>674</v>
      </c>
      <c r="F41" s="204">
        <v>45924</v>
      </c>
      <c r="G41" s="206">
        <v>16</v>
      </c>
      <c r="H41" s="203"/>
      <c r="I41" s="203"/>
      <c r="J41" s="203">
        <f t="shared" si="2"/>
        <v>16</v>
      </c>
      <c r="K41" s="203"/>
      <c r="L41" s="203" t="s">
        <v>679</v>
      </c>
      <c r="M41" s="22"/>
      <c r="N41" s="22"/>
      <c r="O41" s="22"/>
    </row>
    <row r="42" spans="1:556" s="202" customFormat="1" x14ac:dyDescent="0.25">
      <c r="A42" s="206" t="s">
        <v>680</v>
      </c>
      <c r="B42" s="206" t="s">
        <v>463</v>
      </c>
      <c r="C42" s="203" t="s">
        <v>537</v>
      </c>
      <c r="D42" s="203" t="s">
        <v>578</v>
      </c>
      <c r="E42" s="204" t="s">
        <v>676</v>
      </c>
      <c r="F42" s="204">
        <v>45931</v>
      </c>
      <c r="G42" s="206">
        <v>2</v>
      </c>
      <c r="H42" s="203"/>
      <c r="I42" s="203"/>
      <c r="J42" s="203">
        <f t="shared" si="2"/>
        <v>2</v>
      </c>
      <c r="K42" s="203"/>
      <c r="L42" s="203" t="s">
        <v>681</v>
      </c>
      <c r="M42" s="22"/>
      <c r="N42" s="22"/>
      <c r="O42" s="22"/>
    </row>
    <row r="43" spans="1:556" s="202" customFormat="1" x14ac:dyDescent="0.25">
      <c r="A43" s="206" t="s">
        <v>675</v>
      </c>
      <c r="B43" s="206" t="s">
        <v>670</v>
      </c>
      <c r="C43" s="203" t="s">
        <v>673</v>
      </c>
      <c r="D43" s="203" t="s">
        <v>578</v>
      </c>
      <c r="E43" s="204" t="s">
        <v>674</v>
      </c>
      <c r="F43" s="204">
        <v>45939</v>
      </c>
      <c r="G43" s="206">
        <v>1</v>
      </c>
      <c r="H43" s="203"/>
      <c r="I43" s="203"/>
      <c r="J43" s="203">
        <f t="shared" si="2"/>
        <v>1</v>
      </c>
      <c r="K43" s="203"/>
      <c r="L43" s="203" t="s">
        <v>677</v>
      </c>
      <c r="M43" s="22"/>
      <c r="N43" s="22"/>
      <c r="O43" s="22"/>
    </row>
    <row r="44" spans="1:556" s="202" customFormat="1" x14ac:dyDescent="0.25">
      <c r="A44" s="206" t="s">
        <v>689</v>
      </c>
      <c r="B44" s="206" t="s">
        <v>463</v>
      </c>
      <c r="C44" s="203" t="s">
        <v>537</v>
      </c>
      <c r="D44" s="203" t="s">
        <v>578</v>
      </c>
      <c r="E44" s="204" t="s">
        <v>676</v>
      </c>
      <c r="F44" s="204">
        <v>45943</v>
      </c>
      <c r="G44" s="206">
        <v>6</v>
      </c>
      <c r="H44" s="203"/>
      <c r="I44" s="203"/>
      <c r="J44" s="203">
        <f>G44-H44-N70</f>
        <v>0</v>
      </c>
      <c r="K44" s="203"/>
      <c r="L44" s="203" t="s">
        <v>690</v>
      </c>
      <c r="M44" s="22"/>
      <c r="N44" s="22"/>
      <c r="O44" s="22"/>
    </row>
    <row r="45" spans="1:556" s="202" customFormat="1" x14ac:dyDescent="0.25">
      <c r="A45" s="206" t="s">
        <v>692</v>
      </c>
      <c r="B45" s="206" t="s">
        <v>463</v>
      </c>
      <c r="C45" s="203" t="s">
        <v>693</v>
      </c>
      <c r="D45" s="203" t="s">
        <v>578</v>
      </c>
      <c r="E45" s="204" t="s">
        <v>676</v>
      </c>
      <c r="F45" s="204">
        <v>45943</v>
      </c>
      <c r="G45" s="206">
        <v>4</v>
      </c>
      <c r="H45" s="203"/>
      <c r="I45" s="203"/>
      <c r="J45" s="203">
        <f>G45-H45-N71</f>
        <v>2</v>
      </c>
      <c r="K45" s="203"/>
      <c r="L45" s="203" t="s">
        <v>694</v>
      </c>
      <c r="M45" s="22"/>
      <c r="N45" s="22"/>
      <c r="O45" s="22"/>
    </row>
    <row r="46" spans="1:556" s="202" customFormat="1" x14ac:dyDescent="0.25">
      <c r="A46" s="206"/>
      <c r="B46" s="206" t="s">
        <v>696</v>
      </c>
      <c r="C46" s="203" t="s">
        <v>697</v>
      </c>
      <c r="D46" s="203" t="s">
        <v>698</v>
      </c>
      <c r="E46" s="204" t="s">
        <v>578</v>
      </c>
      <c r="F46" s="204">
        <v>45945</v>
      </c>
      <c r="G46" s="206">
        <v>29</v>
      </c>
      <c r="H46" s="203"/>
      <c r="I46" s="203"/>
      <c r="J46" s="203">
        <f>G46-H46-N72</f>
        <v>24</v>
      </c>
      <c r="K46" s="203"/>
      <c r="L46" s="203" t="s">
        <v>699</v>
      </c>
      <c r="M46" s="22"/>
      <c r="N46" s="22"/>
      <c r="O46" s="22"/>
    </row>
    <row r="47" spans="1:556" s="202" customFormat="1" x14ac:dyDescent="0.25">
      <c r="A47" s="206"/>
      <c r="B47" s="206" t="s">
        <v>696</v>
      </c>
      <c r="C47" s="203" t="s">
        <v>700</v>
      </c>
      <c r="D47" s="203" t="s">
        <v>698</v>
      </c>
      <c r="E47" s="204" t="s">
        <v>578</v>
      </c>
      <c r="F47" s="204">
        <v>45945</v>
      </c>
      <c r="G47" s="206">
        <v>7</v>
      </c>
      <c r="H47" s="203"/>
      <c r="I47" s="203"/>
      <c r="J47" s="203">
        <f>G47-H47-N73</f>
        <v>2</v>
      </c>
      <c r="K47" s="203"/>
      <c r="L47" s="203" t="s">
        <v>701</v>
      </c>
      <c r="M47" s="22"/>
      <c r="N47" s="22"/>
      <c r="O47" s="22"/>
    </row>
    <row r="48" spans="1:556" s="202" customFormat="1" x14ac:dyDescent="0.25">
      <c r="A48" s="206" t="s">
        <v>704</v>
      </c>
      <c r="B48" s="206" t="s">
        <v>463</v>
      </c>
      <c r="C48" s="203" t="s">
        <v>537</v>
      </c>
      <c r="D48" s="203" t="s">
        <v>578</v>
      </c>
      <c r="E48" s="204" t="s">
        <v>676</v>
      </c>
      <c r="F48" s="204">
        <v>45950</v>
      </c>
      <c r="G48" s="206">
        <v>2</v>
      </c>
      <c r="H48" s="203"/>
      <c r="I48" s="203"/>
      <c r="J48" s="203">
        <f>G48-H48-N74</f>
        <v>-2</v>
      </c>
      <c r="K48" s="203"/>
      <c r="L48" s="203" t="s">
        <v>703</v>
      </c>
      <c r="M48" s="22"/>
      <c r="N48" s="22"/>
      <c r="O48" s="22"/>
    </row>
    <row r="49" spans="1:15" s="202" customFormat="1" x14ac:dyDescent="0.25">
      <c r="A49" s="206"/>
      <c r="B49" s="203" t="s">
        <v>395</v>
      </c>
      <c r="C49" s="203" t="s">
        <v>578</v>
      </c>
      <c r="D49" s="203" t="s">
        <v>705</v>
      </c>
      <c r="E49" s="204" t="s">
        <v>706</v>
      </c>
      <c r="F49" s="204">
        <v>45946</v>
      </c>
      <c r="G49" s="206">
        <v>12</v>
      </c>
      <c r="H49" s="203"/>
      <c r="I49" s="203"/>
      <c r="J49" s="203">
        <f>G49-H49-N71</f>
        <v>10</v>
      </c>
      <c r="K49" s="203"/>
      <c r="L49" s="203" t="s">
        <v>707</v>
      </c>
      <c r="M49" s="22"/>
      <c r="N49" s="22"/>
      <c r="O49" s="22"/>
    </row>
    <row r="50" spans="1:15" s="202" customFormat="1" x14ac:dyDescent="0.25">
      <c r="A50" s="206"/>
      <c r="B50" s="203" t="s">
        <v>589</v>
      </c>
      <c r="C50" s="203" t="s">
        <v>578</v>
      </c>
      <c r="D50" s="203" t="s">
        <v>705</v>
      </c>
      <c r="E50" s="204" t="s">
        <v>709</v>
      </c>
      <c r="F50" s="204">
        <v>45946</v>
      </c>
      <c r="G50" s="206">
        <v>49</v>
      </c>
      <c r="H50" s="203"/>
      <c r="I50" s="203"/>
      <c r="J50" s="203">
        <f>G50-H50-N76</f>
        <v>49</v>
      </c>
      <c r="K50" s="203"/>
      <c r="L50" s="203" t="s">
        <v>707</v>
      </c>
      <c r="M50" s="22"/>
      <c r="N50" s="22"/>
      <c r="O50" s="22"/>
    </row>
    <row r="51" spans="1:15" s="202" customFormat="1" x14ac:dyDescent="0.25">
      <c r="A51" s="206"/>
      <c r="B51" s="203" t="s">
        <v>397</v>
      </c>
      <c r="C51" s="203" t="s">
        <v>578</v>
      </c>
      <c r="D51" s="203" t="s">
        <v>705</v>
      </c>
      <c r="E51" s="204" t="s">
        <v>708</v>
      </c>
      <c r="F51" s="204">
        <v>45946</v>
      </c>
      <c r="G51" s="206">
        <v>6</v>
      </c>
      <c r="H51" s="203"/>
      <c r="I51" s="203"/>
      <c r="J51" s="203">
        <f>G51-N73</f>
        <v>1</v>
      </c>
      <c r="K51" s="203"/>
      <c r="L51" s="203" t="s">
        <v>707</v>
      </c>
      <c r="M51" s="22"/>
      <c r="N51" s="22"/>
      <c r="O51" s="22"/>
    </row>
    <row r="52" spans="1:15" s="202" customFormat="1" x14ac:dyDescent="0.25">
      <c r="A52" s="206" t="s">
        <v>711</v>
      </c>
      <c r="B52" s="203" t="s">
        <v>696</v>
      </c>
      <c r="C52" s="203" t="s">
        <v>543</v>
      </c>
      <c r="D52" s="203" t="s">
        <v>698</v>
      </c>
      <c r="E52" s="204" t="s">
        <v>578</v>
      </c>
      <c r="F52" s="204">
        <v>45952</v>
      </c>
      <c r="G52" s="206">
        <v>32</v>
      </c>
      <c r="H52" s="203"/>
      <c r="I52" s="203"/>
      <c r="J52" s="203">
        <f>G52-H52-N78</f>
        <v>32</v>
      </c>
      <c r="K52" s="203"/>
      <c r="L52" s="203"/>
      <c r="M52" s="22"/>
      <c r="N52" s="22"/>
      <c r="O52" s="22"/>
    </row>
    <row r="53" spans="1:15" s="202" customFormat="1" x14ac:dyDescent="0.25">
      <c r="A53" s="206" t="s">
        <v>704</v>
      </c>
      <c r="B53" s="206" t="s">
        <v>463</v>
      </c>
      <c r="C53" s="203" t="s">
        <v>537</v>
      </c>
      <c r="D53" s="203" t="s">
        <v>578</v>
      </c>
      <c r="E53" s="204" t="s">
        <v>676</v>
      </c>
      <c r="F53" s="204">
        <v>45980</v>
      </c>
      <c r="G53" s="206">
        <v>2</v>
      </c>
      <c r="H53" s="203"/>
      <c r="I53" s="203"/>
      <c r="J53" s="203">
        <f>G53-H53-N79</f>
        <v>2</v>
      </c>
      <c r="K53" s="203"/>
      <c r="L53" s="203" t="s">
        <v>715</v>
      </c>
      <c r="M53" s="22"/>
      <c r="N53" s="22"/>
      <c r="O53" s="22"/>
    </row>
    <row r="54" spans="1:15" s="202" customFormat="1" x14ac:dyDescent="0.25">
      <c r="A54" s="206"/>
      <c r="B54" s="206" t="s">
        <v>463</v>
      </c>
      <c r="C54" s="203" t="s">
        <v>537</v>
      </c>
      <c r="D54" s="203" t="s">
        <v>578</v>
      </c>
      <c r="E54" s="204" t="s">
        <v>676</v>
      </c>
      <c r="F54" s="204">
        <v>45980</v>
      </c>
      <c r="G54" s="206">
        <v>2</v>
      </c>
      <c r="H54" s="203"/>
      <c r="I54" s="203"/>
      <c r="J54" s="203">
        <f>G54-H54-N80</f>
        <v>2</v>
      </c>
      <c r="K54" s="203"/>
      <c r="L54" s="203" t="s">
        <v>718</v>
      </c>
      <c r="M54" s="22"/>
      <c r="N54" s="22"/>
      <c r="O54" s="22"/>
    </row>
    <row r="55" spans="1:15" s="202" customFormat="1" x14ac:dyDescent="0.25">
      <c r="A55" s="222"/>
      <c r="B55" s="206" t="s">
        <v>463</v>
      </c>
      <c r="C55" s="203" t="s">
        <v>537</v>
      </c>
      <c r="D55" s="203" t="s">
        <v>578</v>
      </c>
      <c r="E55" s="204" t="s">
        <v>676</v>
      </c>
      <c r="F55" s="236">
        <v>46009</v>
      </c>
      <c r="G55" s="233">
        <v>12</v>
      </c>
      <c r="H55" s="234"/>
      <c r="I55" s="234"/>
      <c r="J55" s="203">
        <f t="shared" ref="J55:J58" si="3">G55-H55-N81</f>
        <v>12</v>
      </c>
      <c r="K55" s="234"/>
      <c r="L55" s="203" t="s">
        <v>742</v>
      </c>
      <c r="M55" s="22"/>
      <c r="N55" s="22"/>
      <c r="O55" s="22"/>
    </row>
    <row r="56" spans="1:15" s="202" customFormat="1" x14ac:dyDescent="0.25">
      <c r="A56" s="222"/>
      <c r="B56" s="206" t="s">
        <v>463</v>
      </c>
      <c r="C56" s="203" t="s">
        <v>537</v>
      </c>
      <c r="D56" s="203" t="s">
        <v>578</v>
      </c>
      <c r="E56" s="204" t="s">
        <v>676</v>
      </c>
      <c r="F56" s="236">
        <v>46009</v>
      </c>
      <c r="G56" s="233">
        <v>15</v>
      </c>
      <c r="H56" s="234"/>
      <c r="I56" s="234"/>
      <c r="J56" s="203">
        <f t="shared" si="3"/>
        <v>15</v>
      </c>
      <c r="K56" s="234"/>
      <c r="L56" s="203" t="s">
        <v>742</v>
      </c>
      <c r="M56" s="22"/>
      <c r="N56" s="22"/>
      <c r="O56" s="22"/>
    </row>
    <row r="57" spans="1:15" s="202" customFormat="1" x14ac:dyDescent="0.25">
      <c r="A57" s="222"/>
      <c r="B57" s="206" t="s">
        <v>463</v>
      </c>
      <c r="C57" s="234" t="s">
        <v>741</v>
      </c>
      <c r="D57" s="203" t="s">
        <v>578</v>
      </c>
      <c r="E57" s="204" t="s">
        <v>676</v>
      </c>
      <c r="F57" s="236">
        <v>46009</v>
      </c>
      <c r="G57" s="233">
        <v>2</v>
      </c>
      <c r="H57" s="234"/>
      <c r="I57" s="234"/>
      <c r="J57" s="203">
        <f t="shared" si="3"/>
        <v>2</v>
      </c>
      <c r="K57" s="234"/>
      <c r="L57" s="203" t="s">
        <v>743</v>
      </c>
      <c r="M57" s="22"/>
      <c r="N57" s="22"/>
      <c r="O57" s="22"/>
    </row>
    <row r="58" spans="1:15" s="202" customFormat="1" x14ac:dyDescent="0.25">
      <c r="A58" s="222"/>
      <c r="B58" s="206" t="s">
        <v>463</v>
      </c>
      <c r="C58" s="203" t="s">
        <v>537</v>
      </c>
      <c r="D58" s="203" t="s">
        <v>578</v>
      </c>
      <c r="E58" s="204" t="s">
        <v>676</v>
      </c>
      <c r="F58" s="236">
        <v>46009</v>
      </c>
      <c r="G58" s="233">
        <v>1</v>
      </c>
      <c r="H58" s="234"/>
      <c r="I58" s="234"/>
      <c r="J58" s="203">
        <f t="shared" si="3"/>
        <v>1</v>
      </c>
      <c r="K58" s="234"/>
      <c r="L58" s="203" t="s">
        <v>744</v>
      </c>
      <c r="M58" s="22"/>
      <c r="N58" s="22"/>
      <c r="O58" s="22"/>
    </row>
    <row r="59" spans="1:15" x14ac:dyDescent="0.25">
      <c r="A59" s="63" t="s">
        <v>195</v>
      </c>
      <c r="B59" s="64"/>
      <c r="C59" s="64"/>
      <c r="D59" s="65"/>
      <c r="E59" s="65"/>
      <c r="F59" s="64"/>
      <c r="G59" s="64"/>
      <c r="H59" s="64"/>
      <c r="I59" s="64"/>
      <c r="J59" s="64"/>
      <c r="K59" s="64"/>
      <c r="L59" s="270"/>
      <c r="M59" s="270"/>
      <c r="N59" s="270"/>
      <c r="O59" s="271"/>
    </row>
    <row r="60" spans="1:15" s="202" customFormat="1" x14ac:dyDescent="0.25">
      <c r="A60" s="213" t="s">
        <v>659</v>
      </c>
      <c r="B60" s="206" t="s">
        <v>454</v>
      </c>
      <c r="C60" s="203" t="s">
        <v>539</v>
      </c>
      <c r="D60" s="203"/>
      <c r="E60" s="203"/>
      <c r="F60" s="204"/>
      <c r="G60" s="204"/>
      <c r="H60" s="203"/>
      <c r="I60" s="203"/>
      <c r="J60" s="203"/>
      <c r="K60" s="203"/>
      <c r="L60" s="203"/>
      <c r="M60" s="23">
        <v>45776</v>
      </c>
      <c r="N60" s="22">
        <v>3</v>
      </c>
      <c r="O60" s="22" t="s">
        <v>530</v>
      </c>
    </row>
    <row r="61" spans="1:15" s="202" customFormat="1" x14ac:dyDescent="0.25">
      <c r="A61" s="206" t="s">
        <v>414</v>
      </c>
      <c r="B61" s="206" t="s">
        <v>454</v>
      </c>
      <c r="C61" s="203" t="s">
        <v>539</v>
      </c>
      <c r="D61" s="203"/>
      <c r="E61" s="203"/>
      <c r="F61" s="204"/>
      <c r="G61" s="204"/>
      <c r="H61" s="203"/>
      <c r="I61" s="203"/>
      <c r="J61" s="203"/>
      <c r="K61" s="203"/>
      <c r="L61" s="203"/>
      <c r="M61" s="23">
        <v>45776</v>
      </c>
      <c r="N61" s="22">
        <v>3</v>
      </c>
      <c r="O61" s="22" t="s">
        <v>530</v>
      </c>
    </row>
    <row r="62" spans="1:15" s="202" customFormat="1" ht="16.5" customHeight="1" x14ac:dyDescent="0.25">
      <c r="A62" s="206" t="s">
        <v>415</v>
      </c>
      <c r="B62" s="206" t="s">
        <v>454</v>
      </c>
      <c r="C62" s="203"/>
      <c r="D62" s="203"/>
      <c r="E62" s="203"/>
      <c r="F62" s="204"/>
      <c r="G62" s="204"/>
      <c r="H62" s="203"/>
      <c r="I62" s="203"/>
      <c r="J62" s="203"/>
      <c r="K62" s="203"/>
      <c r="L62" s="203"/>
      <c r="M62" s="23">
        <v>45776</v>
      </c>
      <c r="N62" s="22">
        <v>1</v>
      </c>
      <c r="O62" s="22" t="s">
        <v>530</v>
      </c>
    </row>
    <row r="63" spans="1:15" s="202" customFormat="1" ht="45" x14ac:dyDescent="0.25">
      <c r="A63" s="203">
        <v>10659</v>
      </c>
      <c r="B63" s="203" t="s">
        <v>395</v>
      </c>
      <c r="C63" s="203"/>
      <c r="D63" s="203"/>
      <c r="E63" s="203"/>
      <c r="F63" s="213"/>
      <c r="G63" s="203"/>
      <c r="H63" s="203"/>
      <c r="I63" s="203"/>
      <c r="J63" s="203"/>
      <c r="K63" s="203"/>
      <c r="L63" s="214"/>
      <c r="M63" s="23">
        <v>45810</v>
      </c>
      <c r="N63" s="22">
        <v>9</v>
      </c>
      <c r="O63" s="225" t="s">
        <v>532</v>
      </c>
    </row>
    <row r="64" spans="1:15" s="202" customFormat="1" ht="45" x14ac:dyDescent="0.25">
      <c r="A64" s="203" t="s">
        <v>398</v>
      </c>
      <c r="B64" s="203" t="s">
        <v>395</v>
      </c>
      <c r="C64" s="203" t="s">
        <v>539</v>
      </c>
      <c r="D64" s="203"/>
      <c r="E64" s="203"/>
      <c r="F64" s="204"/>
      <c r="G64" s="204"/>
      <c r="H64" s="203"/>
      <c r="I64" s="203"/>
      <c r="J64" s="203"/>
      <c r="K64" s="203"/>
      <c r="L64" s="203"/>
      <c r="M64" s="23">
        <v>45810</v>
      </c>
      <c r="N64" s="22">
        <v>8</v>
      </c>
      <c r="O64" s="225" t="s">
        <v>532</v>
      </c>
    </row>
    <row r="65" spans="1:15" s="202" customFormat="1" x14ac:dyDescent="0.25">
      <c r="A65" s="203" t="s">
        <v>398</v>
      </c>
      <c r="B65" s="203" t="s">
        <v>397</v>
      </c>
      <c r="C65" s="203"/>
      <c r="D65" s="203"/>
      <c r="E65" s="203"/>
      <c r="F65" s="204"/>
      <c r="G65" s="203"/>
      <c r="H65" s="203"/>
      <c r="I65" s="203"/>
      <c r="J65" s="203"/>
      <c r="K65" s="203"/>
      <c r="L65" s="214"/>
      <c r="M65" s="23">
        <v>45834</v>
      </c>
      <c r="N65" s="22">
        <v>2</v>
      </c>
      <c r="O65" s="22" t="s">
        <v>559</v>
      </c>
    </row>
    <row r="66" spans="1:15" s="203" customFormat="1" x14ac:dyDescent="0.25">
      <c r="A66" s="206" t="s">
        <v>399</v>
      </c>
      <c r="B66" s="215" t="s">
        <v>400</v>
      </c>
      <c r="F66" s="204"/>
      <c r="G66" s="206"/>
      <c r="L66" s="206" t="s">
        <v>401</v>
      </c>
      <c r="M66" s="23">
        <v>45874</v>
      </c>
      <c r="N66" s="22">
        <v>10</v>
      </c>
      <c r="O66" s="225" t="s">
        <v>661</v>
      </c>
    </row>
    <row r="67" spans="1:15" ht="30" x14ac:dyDescent="0.25">
      <c r="A67" s="206" t="s">
        <v>399</v>
      </c>
      <c r="B67" s="215" t="s">
        <v>400</v>
      </c>
      <c r="C67" s="203"/>
      <c r="D67" s="203"/>
      <c r="E67" s="203"/>
      <c r="F67" s="204"/>
      <c r="G67" s="206"/>
      <c r="H67" s="203"/>
      <c r="I67" s="203"/>
      <c r="J67" s="203"/>
      <c r="K67" s="203"/>
      <c r="L67" s="206" t="s">
        <v>401</v>
      </c>
      <c r="M67" s="23">
        <v>45881</v>
      </c>
      <c r="N67" s="22">
        <v>1</v>
      </c>
      <c r="O67" s="225" t="s">
        <v>662</v>
      </c>
    </row>
    <row r="68" spans="1:15" s="202" customFormat="1" x14ac:dyDescent="0.25">
      <c r="A68" s="206" t="s">
        <v>578</v>
      </c>
      <c r="B68" s="206" t="s">
        <v>418</v>
      </c>
      <c r="C68" s="203" t="s">
        <v>578</v>
      </c>
      <c r="D68" s="203" t="s">
        <v>578</v>
      </c>
      <c r="E68" s="203" t="s">
        <v>578</v>
      </c>
      <c r="F68" s="204" t="s">
        <v>578</v>
      </c>
      <c r="G68" s="203"/>
      <c r="H68" s="203"/>
      <c r="I68" s="203"/>
      <c r="J68" s="203"/>
      <c r="K68" s="203"/>
      <c r="L68" s="203"/>
      <c r="M68" s="23">
        <v>45915</v>
      </c>
      <c r="N68" s="22">
        <v>10</v>
      </c>
      <c r="O68" s="22" t="s">
        <v>672</v>
      </c>
    </row>
    <row r="69" spans="1:15" s="203" customFormat="1" x14ac:dyDescent="0.25">
      <c r="A69" s="206" t="s">
        <v>465</v>
      </c>
      <c r="B69" s="206" t="s">
        <v>463</v>
      </c>
      <c r="F69" s="204"/>
      <c r="G69" s="206"/>
      <c r="L69" s="203" t="s">
        <v>669</v>
      </c>
      <c r="M69" s="23">
        <v>45922</v>
      </c>
      <c r="N69" s="22">
        <v>29</v>
      </c>
      <c r="O69" s="22" t="s">
        <v>206</v>
      </c>
    </row>
    <row r="70" spans="1:15" s="202" customFormat="1" x14ac:dyDescent="0.25">
      <c r="A70" s="206" t="s">
        <v>689</v>
      </c>
      <c r="B70" s="206" t="s">
        <v>463</v>
      </c>
      <c r="C70" s="203" t="s">
        <v>537</v>
      </c>
      <c r="D70" s="203"/>
      <c r="E70" s="204"/>
      <c r="F70" s="204"/>
      <c r="G70" s="206"/>
      <c r="H70" s="203"/>
      <c r="I70" s="203"/>
      <c r="J70" s="203"/>
      <c r="K70" s="203"/>
      <c r="L70" s="203" t="s">
        <v>690</v>
      </c>
      <c r="M70" s="23">
        <v>45943</v>
      </c>
      <c r="N70" s="22">
        <v>6</v>
      </c>
      <c r="O70" s="22" t="s">
        <v>691</v>
      </c>
    </row>
    <row r="71" spans="1:15" s="202" customFormat="1" x14ac:dyDescent="0.25">
      <c r="A71" s="222"/>
      <c r="B71" s="203" t="s">
        <v>395</v>
      </c>
      <c r="C71" s="234" t="s">
        <v>578</v>
      </c>
      <c r="E71" s="235"/>
      <c r="F71" s="236"/>
      <c r="G71" s="233"/>
      <c r="H71" s="234"/>
      <c r="I71" s="234"/>
      <c r="J71" s="203"/>
      <c r="K71" s="234"/>
      <c r="L71" s="202" t="s">
        <v>707</v>
      </c>
      <c r="M71" s="237">
        <v>45951</v>
      </c>
      <c r="N71" s="2">
        <v>2</v>
      </c>
      <c r="O71" s="2" t="s">
        <v>710</v>
      </c>
    </row>
    <row r="72" spans="1:15" s="202" customFormat="1" ht="45" x14ac:dyDescent="0.25">
      <c r="A72" s="206" t="s">
        <v>623</v>
      </c>
      <c r="B72" s="206" t="s">
        <v>463</v>
      </c>
      <c r="C72" s="203" t="s">
        <v>537</v>
      </c>
      <c r="D72" s="203"/>
      <c r="E72" s="203"/>
      <c r="F72" s="204"/>
      <c r="G72" s="203"/>
      <c r="H72" s="203"/>
      <c r="I72" s="203"/>
      <c r="J72" s="203"/>
      <c r="K72" s="203"/>
      <c r="L72" s="211" t="s">
        <v>624</v>
      </c>
      <c r="M72" s="23">
        <v>45999</v>
      </c>
      <c r="N72" s="22">
        <v>5</v>
      </c>
      <c r="O72" s="22" t="s">
        <v>691</v>
      </c>
    </row>
    <row r="73" spans="1:15" s="202" customFormat="1" x14ac:dyDescent="0.25">
      <c r="A73" s="206"/>
      <c r="B73" s="203" t="s">
        <v>397</v>
      </c>
      <c r="C73" s="203" t="s">
        <v>578</v>
      </c>
      <c r="D73" s="203"/>
      <c r="E73" s="204"/>
      <c r="F73" s="204"/>
      <c r="G73" s="206"/>
      <c r="H73" s="203"/>
      <c r="I73" s="203"/>
      <c r="J73" s="203"/>
      <c r="K73" s="203"/>
      <c r="L73" s="203" t="s">
        <v>707</v>
      </c>
      <c r="M73" s="23">
        <v>45999</v>
      </c>
      <c r="N73" s="22">
        <v>5</v>
      </c>
      <c r="O73" s="22" t="s">
        <v>736</v>
      </c>
    </row>
    <row r="74" spans="1:15" s="202" customFormat="1" x14ac:dyDescent="0.25">
      <c r="A74" s="206" t="s">
        <v>578</v>
      </c>
      <c r="B74" s="206" t="s">
        <v>418</v>
      </c>
      <c r="C74" s="203" t="s">
        <v>578</v>
      </c>
      <c r="D74" s="203" t="s">
        <v>578</v>
      </c>
      <c r="E74" s="203" t="s">
        <v>578</v>
      </c>
      <c r="F74" s="204" t="s">
        <v>578</v>
      </c>
      <c r="G74" s="203"/>
      <c r="H74" s="203"/>
      <c r="I74" s="203"/>
      <c r="J74" s="203"/>
      <c r="K74" s="203"/>
      <c r="L74" s="203"/>
      <c r="M74" s="23">
        <v>45915</v>
      </c>
      <c r="N74" s="22">
        <v>4</v>
      </c>
      <c r="O74" s="22" t="s">
        <v>740</v>
      </c>
    </row>
    <row r="75" spans="1:15" x14ac:dyDescent="0.25">
      <c r="A75" s="226"/>
      <c r="B75" s="226"/>
      <c r="C75" s="226"/>
      <c r="D75" s="226"/>
      <c r="E75" s="226"/>
      <c r="F75" s="227"/>
      <c r="G75" s="227"/>
      <c r="H75" s="226"/>
      <c r="I75" s="226"/>
      <c r="J75" s="226"/>
      <c r="K75" s="226"/>
      <c r="L75" s="226"/>
      <c r="M75" s="26"/>
      <c r="N75" s="26"/>
      <c r="O75" s="26"/>
    </row>
    <row r="76" spans="1:15" x14ac:dyDescent="0.25">
      <c r="A76" s="226"/>
      <c r="B76" s="226"/>
      <c r="C76" s="226"/>
      <c r="D76" s="226"/>
      <c r="E76" s="226"/>
      <c r="F76" s="227"/>
      <c r="G76" s="227"/>
      <c r="H76" s="226"/>
      <c r="I76" s="226"/>
      <c r="J76" s="226"/>
      <c r="K76" s="226"/>
      <c r="L76" s="226"/>
      <c r="M76" s="26"/>
      <c r="N76" s="26"/>
      <c r="O76" s="26"/>
    </row>
    <row r="77" spans="1:15" x14ac:dyDescent="0.25">
      <c r="A77" s="226"/>
      <c r="B77" s="226"/>
      <c r="C77" s="226"/>
      <c r="D77" s="226"/>
      <c r="E77" s="226"/>
      <c r="F77" s="227"/>
      <c r="G77" s="227"/>
      <c r="H77" s="226"/>
      <c r="I77" s="226"/>
      <c r="J77" s="226"/>
      <c r="K77" s="226"/>
      <c r="L77" s="226"/>
      <c r="M77" s="26"/>
      <c r="N77" s="26"/>
      <c r="O77" s="26"/>
    </row>
    <row r="78" spans="1:15" x14ac:dyDescent="0.25">
      <c r="A78" s="226"/>
      <c r="B78" s="226"/>
      <c r="C78" s="226"/>
      <c r="D78" s="226"/>
      <c r="E78" s="226"/>
      <c r="F78" s="227"/>
      <c r="G78" s="227"/>
      <c r="H78" s="226"/>
      <c r="I78" s="226"/>
      <c r="J78" s="226"/>
      <c r="K78" s="226"/>
      <c r="L78" s="226"/>
      <c r="M78" s="26"/>
      <c r="N78" s="26"/>
      <c r="O78" s="26"/>
    </row>
    <row r="79" spans="1:15" x14ac:dyDescent="0.25">
      <c r="A79" s="226"/>
      <c r="B79" s="226"/>
      <c r="C79" s="226"/>
      <c r="D79" s="226"/>
      <c r="E79" s="226"/>
      <c r="F79" s="227"/>
      <c r="G79" s="227"/>
      <c r="H79" s="226"/>
      <c r="I79" s="226"/>
      <c r="J79" s="226"/>
      <c r="K79" s="226"/>
      <c r="L79" s="226"/>
      <c r="M79" s="26"/>
      <c r="N79" s="26"/>
      <c r="O79" s="26"/>
    </row>
    <row r="80" spans="1:15" x14ac:dyDescent="0.25">
      <c r="A80" s="226"/>
      <c r="B80" s="226"/>
      <c r="C80" s="226"/>
      <c r="D80" s="226"/>
      <c r="E80" s="226"/>
      <c r="F80" s="227"/>
      <c r="G80" s="227"/>
      <c r="H80" s="226"/>
      <c r="I80" s="226"/>
      <c r="J80" s="226"/>
      <c r="K80" s="226"/>
      <c r="L80" s="226"/>
      <c r="M80" s="26"/>
      <c r="N80" s="26"/>
      <c r="O80" s="26"/>
    </row>
    <row r="81" spans="1:15" x14ac:dyDescent="0.25">
      <c r="A81" s="226"/>
      <c r="B81" s="226"/>
      <c r="C81" s="226"/>
      <c r="D81" s="226"/>
      <c r="E81" s="226"/>
      <c r="F81" s="227"/>
      <c r="G81" s="227"/>
      <c r="H81" s="226"/>
      <c r="I81" s="226"/>
      <c r="J81" s="226"/>
      <c r="K81" s="226"/>
      <c r="L81" s="226"/>
      <c r="M81" s="26"/>
      <c r="N81" s="26"/>
      <c r="O81" s="26"/>
    </row>
    <row r="82" spans="1:15" x14ac:dyDescent="0.25">
      <c r="A82" s="226"/>
      <c r="B82" s="226"/>
      <c r="C82" s="226"/>
      <c r="D82" s="226"/>
      <c r="E82" s="226"/>
      <c r="F82" s="227"/>
      <c r="G82" s="227"/>
      <c r="H82" s="226"/>
      <c r="I82" s="226"/>
      <c r="J82" s="226"/>
      <c r="K82" s="226"/>
      <c r="L82" s="226"/>
      <c r="M82" s="26"/>
      <c r="N82" s="26"/>
      <c r="O82" s="26"/>
    </row>
    <row r="83" spans="1:15" x14ac:dyDescent="0.25">
      <c r="A83" s="226"/>
      <c r="B83" s="226"/>
      <c r="C83" s="226"/>
      <c r="D83" s="226"/>
      <c r="E83" s="226"/>
      <c r="F83" s="227"/>
      <c r="G83" s="227"/>
      <c r="H83" s="226"/>
      <c r="I83" s="226"/>
      <c r="J83" s="226"/>
      <c r="K83" s="226"/>
      <c r="L83" s="226"/>
      <c r="M83" s="26"/>
      <c r="N83" s="26"/>
      <c r="O83" s="26"/>
    </row>
    <row r="84" spans="1:15" x14ac:dyDescent="0.25">
      <c r="A84" s="226"/>
      <c r="B84" s="226"/>
      <c r="C84" s="226"/>
      <c r="D84" s="226"/>
      <c r="E84" s="226"/>
      <c r="F84" s="227"/>
      <c r="G84" s="227"/>
      <c r="H84" s="226"/>
      <c r="I84" s="226"/>
      <c r="J84" s="226"/>
      <c r="K84" s="226"/>
      <c r="L84" s="226"/>
      <c r="M84" s="26"/>
      <c r="N84" s="26"/>
      <c r="O84" s="26"/>
    </row>
    <row r="85" spans="1:15" x14ac:dyDescent="0.25">
      <c r="A85" s="226"/>
      <c r="B85" s="226"/>
      <c r="C85" s="226"/>
      <c r="D85" s="226"/>
      <c r="E85" s="226"/>
      <c r="F85" s="227"/>
      <c r="G85" s="227"/>
      <c r="H85" s="226"/>
      <c r="I85" s="226"/>
      <c r="J85" s="226"/>
      <c r="K85" s="226"/>
      <c r="L85" s="226"/>
      <c r="M85" s="26"/>
      <c r="N85" s="26"/>
      <c r="O85" s="26"/>
    </row>
    <row r="86" spans="1:15" x14ac:dyDescent="0.25">
      <c r="A86" s="226"/>
      <c r="B86" s="228"/>
      <c r="C86" s="228"/>
      <c r="D86" s="226"/>
      <c r="E86" s="226"/>
      <c r="F86" s="227"/>
      <c r="G86" s="227"/>
      <c r="H86" s="226"/>
      <c r="I86" s="226"/>
      <c r="J86" s="226"/>
      <c r="K86" s="226"/>
      <c r="L86" s="226"/>
      <c r="M86" s="26"/>
      <c r="N86" s="26"/>
      <c r="O86" s="26"/>
    </row>
    <row r="87" spans="1:15" x14ac:dyDescent="0.25">
      <c r="A87" s="226"/>
      <c r="B87" s="226"/>
      <c r="C87" s="226"/>
      <c r="D87" s="226"/>
      <c r="E87" s="226"/>
      <c r="F87" s="227"/>
      <c r="G87" s="227"/>
      <c r="H87" s="226"/>
      <c r="I87" s="226"/>
      <c r="J87" s="226"/>
      <c r="K87" s="226"/>
      <c r="L87" s="226"/>
      <c r="M87" s="26"/>
      <c r="N87" s="26"/>
      <c r="O87" s="26"/>
    </row>
    <row r="88" spans="1:15" x14ac:dyDescent="0.25">
      <c r="A88" s="226"/>
      <c r="B88" s="226"/>
      <c r="C88" s="226"/>
      <c r="D88" s="226"/>
      <c r="E88" s="226"/>
      <c r="F88" s="227"/>
      <c r="G88" s="227"/>
      <c r="H88" s="226"/>
      <c r="I88" s="226"/>
      <c r="J88" s="226"/>
      <c r="K88" s="226"/>
      <c r="L88" s="226"/>
      <c r="M88" s="58"/>
      <c r="N88" s="58"/>
      <c r="O88" s="58"/>
    </row>
    <row r="89" spans="1:15" x14ac:dyDescent="0.25">
      <c r="A89" s="226"/>
      <c r="B89" s="226"/>
      <c r="C89" s="226"/>
      <c r="D89" s="226"/>
      <c r="E89" s="226"/>
      <c r="F89" s="227"/>
      <c r="G89" s="227"/>
      <c r="H89" s="226"/>
      <c r="I89" s="226"/>
      <c r="J89" s="226"/>
      <c r="K89" s="226"/>
      <c r="L89" s="226"/>
      <c r="M89" s="22"/>
      <c r="N89" s="22"/>
      <c r="O89" s="22"/>
    </row>
    <row r="90" spans="1:15" x14ac:dyDescent="0.25">
      <c r="A90" s="226"/>
      <c r="B90" s="228"/>
      <c r="C90" s="228"/>
      <c r="D90" s="226"/>
      <c r="E90" s="226"/>
      <c r="F90" s="227"/>
      <c r="G90" s="227"/>
      <c r="H90" s="226"/>
      <c r="I90" s="226"/>
      <c r="J90" s="226"/>
      <c r="K90" s="226"/>
      <c r="L90" s="226"/>
      <c r="M90" s="22"/>
      <c r="N90" s="22"/>
      <c r="O90" s="22"/>
    </row>
    <row r="91" spans="1:15" x14ac:dyDescent="0.25">
      <c r="A91" s="226"/>
      <c r="B91" s="226"/>
      <c r="C91" s="226"/>
      <c r="D91" s="226"/>
      <c r="E91" s="226"/>
      <c r="F91" s="227"/>
      <c r="G91" s="227"/>
      <c r="H91" s="226"/>
      <c r="I91" s="226"/>
      <c r="J91" s="226"/>
      <c r="K91" s="226"/>
      <c r="L91" s="226"/>
      <c r="M91" s="22"/>
      <c r="N91" s="22"/>
      <c r="O91" s="22"/>
    </row>
    <row r="92" spans="1:15" x14ac:dyDescent="0.25">
      <c r="A92" s="226"/>
      <c r="B92" s="226"/>
      <c r="C92" s="226"/>
      <c r="D92" s="226"/>
      <c r="E92" s="226"/>
      <c r="F92" s="227"/>
      <c r="G92" s="227"/>
      <c r="H92" s="226"/>
      <c r="I92" s="226"/>
      <c r="J92" s="226"/>
      <c r="K92" s="226"/>
      <c r="L92" s="226"/>
      <c r="M92" s="22"/>
      <c r="N92" s="22"/>
      <c r="O92" s="22"/>
    </row>
    <row r="93" spans="1:15" x14ac:dyDescent="0.25">
      <c r="A93" s="226"/>
      <c r="B93" s="226"/>
      <c r="C93" s="226"/>
      <c r="D93" s="226"/>
      <c r="E93" s="226"/>
      <c r="F93" s="227"/>
      <c r="G93" s="227"/>
      <c r="H93" s="226"/>
      <c r="I93" s="226"/>
      <c r="J93" s="226"/>
      <c r="K93" s="226"/>
      <c r="L93" s="226"/>
      <c r="M93" s="22"/>
      <c r="N93" s="22"/>
      <c r="O93" s="22"/>
    </row>
    <row r="94" spans="1:15" x14ac:dyDescent="0.25">
      <c r="A94" s="226"/>
      <c r="B94" s="226"/>
      <c r="C94" s="226"/>
      <c r="D94" s="226"/>
      <c r="E94" s="226"/>
      <c r="F94" s="227"/>
      <c r="G94" s="227"/>
      <c r="H94" s="226"/>
      <c r="I94" s="226"/>
      <c r="J94" s="226"/>
      <c r="K94" s="226"/>
      <c r="L94" s="226"/>
      <c r="M94" s="22"/>
      <c r="N94" s="22"/>
      <c r="O94" s="22"/>
    </row>
    <row r="95" spans="1:15" x14ac:dyDescent="0.25">
      <c r="A95" s="226"/>
      <c r="B95" s="226"/>
      <c r="C95" s="226"/>
      <c r="D95" s="226"/>
      <c r="E95" s="226"/>
      <c r="F95" s="227"/>
      <c r="G95" s="227"/>
      <c r="H95" s="226"/>
      <c r="I95" s="226"/>
      <c r="J95" s="226"/>
      <c r="K95" s="226"/>
      <c r="L95" s="226"/>
      <c r="M95" s="22"/>
      <c r="N95" s="22"/>
      <c r="O95" s="22"/>
    </row>
    <row r="96" spans="1:15" x14ac:dyDescent="0.25">
      <c r="A96" s="226"/>
      <c r="B96" s="226"/>
      <c r="C96" s="226"/>
      <c r="D96" s="226"/>
      <c r="E96" s="226"/>
      <c r="F96" s="226"/>
      <c r="G96" s="226"/>
      <c r="H96" s="226"/>
      <c r="I96" s="226"/>
      <c r="J96" s="226"/>
      <c r="K96" s="226"/>
      <c r="L96" s="226"/>
      <c r="M96" s="22"/>
      <c r="N96" s="22"/>
      <c r="O96" s="22"/>
    </row>
    <row r="97" spans="1:15" x14ac:dyDescent="0.25">
      <c r="A97" s="226"/>
      <c r="B97" s="226"/>
      <c r="C97" s="226"/>
      <c r="D97" s="226"/>
      <c r="E97" s="226"/>
      <c r="F97" s="227"/>
      <c r="G97" s="227"/>
      <c r="H97" s="226"/>
      <c r="I97" s="226"/>
      <c r="J97" s="226"/>
      <c r="K97" s="226"/>
      <c r="L97" s="226"/>
      <c r="M97" s="22"/>
      <c r="N97" s="22"/>
      <c r="O97" s="22"/>
    </row>
    <row r="98" spans="1:15" x14ac:dyDescent="0.25">
      <c r="A98" s="226"/>
      <c r="B98" s="226"/>
      <c r="C98" s="226"/>
      <c r="D98" s="226"/>
      <c r="E98" s="226"/>
      <c r="F98" s="227"/>
      <c r="G98" s="227"/>
      <c r="H98" s="226"/>
      <c r="I98" s="226"/>
      <c r="J98" s="226"/>
      <c r="K98" s="226"/>
      <c r="L98" s="226"/>
      <c r="M98" s="22"/>
      <c r="N98" s="22"/>
      <c r="O98" s="22"/>
    </row>
  </sheetData>
  <sheetProtection autoFilter="0"/>
  <autoFilter ref="A1:O74" xr:uid="{C92A8E7F-95A1-4BF6-A733-DD3D21C93A76}"/>
  <mergeCells count="1">
    <mergeCell ref="L59:O59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09B-425A-4460-BB37-51546E119BCB}">
  <sheetPr>
    <tabColor rgb="FF00B050"/>
  </sheetPr>
  <dimension ref="A1:O95"/>
  <sheetViews>
    <sheetView topLeftCell="A22" zoomScale="85" zoomScaleNormal="85" workbookViewId="0">
      <selection activeCell="J53" sqref="J53"/>
    </sheetView>
  </sheetViews>
  <sheetFormatPr defaultColWidth="9.140625" defaultRowHeight="15" x14ac:dyDescent="0.25"/>
  <cols>
    <col min="1" max="1" width="22.42578125" style="224" customWidth="1"/>
    <col min="2" max="2" width="21.42578125" style="224" customWidth="1"/>
    <col min="3" max="3" width="28" style="224" customWidth="1"/>
    <col min="4" max="4" width="21.140625" style="224" customWidth="1"/>
    <col min="5" max="5" width="12.140625" style="224" customWidth="1"/>
    <col min="6" max="6" width="14.42578125" style="224" customWidth="1"/>
    <col min="7" max="7" width="12.42578125" style="224" bestFit="1" customWidth="1"/>
    <col min="8" max="8" width="10.42578125" style="224" customWidth="1"/>
    <col min="9" max="9" width="13.42578125" style="224" customWidth="1"/>
    <col min="10" max="10" width="18.42578125" style="224" customWidth="1"/>
    <col min="11" max="11" width="13.42578125" style="224" customWidth="1"/>
    <col min="12" max="12" width="42.85546875" style="224" customWidth="1"/>
    <col min="13" max="13" width="15.42578125" style="2" customWidth="1"/>
    <col min="14" max="14" width="12.42578125" style="2" customWidth="1"/>
    <col min="15" max="15" width="26.42578125" style="2" customWidth="1"/>
    <col min="16" max="16384" width="9.140625" style="224"/>
  </cols>
  <sheetData>
    <row r="1" spans="1:15" s="202" customFormat="1" ht="15.75" thickBot="1" x14ac:dyDescent="0.3">
      <c r="A1" s="4" t="s">
        <v>369</v>
      </c>
      <c r="B1" s="4" t="s">
        <v>0</v>
      </c>
      <c r="C1" s="4" t="s">
        <v>1</v>
      </c>
      <c r="D1" s="4" t="s">
        <v>2</v>
      </c>
      <c r="E1" s="4" t="s">
        <v>538</v>
      </c>
      <c r="F1" s="4" t="s">
        <v>3</v>
      </c>
      <c r="G1" s="4" t="s">
        <v>531</v>
      </c>
      <c r="H1" s="4" t="s">
        <v>5</v>
      </c>
      <c r="I1" s="4" t="s">
        <v>6</v>
      </c>
      <c r="J1" s="4" t="s">
        <v>7</v>
      </c>
      <c r="K1" s="4" t="s">
        <v>11</v>
      </c>
      <c r="L1" s="4" t="s">
        <v>12</v>
      </c>
      <c r="M1" s="4" t="s">
        <v>8</v>
      </c>
      <c r="N1" s="4" t="s">
        <v>9</v>
      </c>
      <c r="O1" s="4" t="s">
        <v>10</v>
      </c>
    </row>
    <row r="2" spans="1:15" s="202" customFormat="1" x14ac:dyDescent="0.25">
      <c r="A2" s="206">
        <v>261</v>
      </c>
      <c r="B2" s="206" t="s">
        <v>466</v>
      </c>
      <c r="C2" s="203" t="s">
        <v>627</v>
      </c>
      <c r="D2" s="203" t="s">
        <v>578</v>
      </c>
      <c r="E2" s="203" t="s">
        <v>578</v>
      </c>
      <c r="F2" s="204" t="s">
        <v>578</v>
      </c>
      <c r="G2" s="206">
        <v>5</v>
      </c>
      <c r="H2" s="203"/>
      <c r="I2" s="203"/>
      <c r="J2" s="203">
        <f t="shared" ref="J2:J52" si="0">G2</f>
        <v>5</v>
      </c>
      <c r="K2" s="203"/>
      <c r="L2" s="203" t="s">
        <v>467</v>
      </c>
      <c r="M2" s="22"/>
      <c r="N2" s="22"/>
      <c r="O2" s="22"/>
    </row>
    <row r="3" spans="1:15" s="202" customFormat="1" x14ac:dyDescent="0.25">
      <c r="A3" s="206">
        <v>225</v>
      </c>
      <c r="B3" s="206" t="s">
        <v>468</v>
      </c>
      <c r="C3" s="203" t="s">
        <v>578</v>
      </c>
      <c r="D3" s="203" t="s">
        <v>578</v>
      </c>
      <c r="E3" s="203" t="s">
        <v>628</v>
      </c>
      <c r="F3" s="204" t="s">
        <v>578</v>
      </c>
      <c r="G3" s="206">
        <v>1</v>
      </c>
      <c r="H3" s="203"/>
      <c r="I3" s="203"/>
      <c r="J3" s="203">
        <f t="shared" si="0"/>
        <v>1</v>
      </c>
      <c r="K3" s="203"/>
      <c r="L3" s="203" t="s">
        <v>469</v>
      </c>
      <c r="M3" s="22"/>
      <c r="N3" s="22"/>
      <c r="O3" s="22"/>
    </row>
    <row r="4" spans="1:15" s="202" customFormat="1" ht="30" x14ac:dyDescent="0.25">
      <c r="A4" s="206">
        <v>97</v>
      </c>
      <c r="B4" s="206" t="s">
        <v>470</v>
      </c>
      <c r="C4" s="203" t="s">
        <v>578</v>
      </c>
      <c r="D4" s="203" t="s">
        <v>578</v>
      </c>
      <c r="E4" s="203"/>
      <c r="F4" s="204" t="s">
        <v>578</v>
      </c>
      <c r="G4" s="206">
        <v>4</v>
      </c>
      <c r="H4" s="203"/>
      <c r="I4" s="203"/>
      <c r="J4" s="203">
        <f t="shared" si="0"/>
        <v>4</v>
      </c>
      <c r="K4" s="203"/>
      <c r="L4" s="211" t="s">
        <v>629</v>
      </c>
      <c r="M4" s="22"/>
      <c r="N4" s="22"/>
      <c r="O4" s="22"/>
    </row>
    <row r="5" spans="1:15" s="202" customFormat="1" x14ac:dyDescent="0.25">
      <c r="A5" s="206">
        <v>276</v>
      </c>
      <c r="B5" s="206" t="s">
        <v>472</v>
      </c>
      <c r="C5" s="203" t="s">
        <v>539</v>
      </c>
      <c r="D5" s="203"/>
      <c r="E5" s="203" t="s">
        <v>630</v>
      </c>
      <c r="F5" s="204"/>
      <c r="G5" s="206">
        <v>5</v>
      </c>
      <c r="H5" s="203"/>
      <c r="I5" s="203"/>
      <c r="J5" s="203">
        <f t="shared" si="0"/>
        <v>5</v>
      </c>
      <c r="K5" s="203"/>
      <c r="L5" s="203" t="s">
        <v>473</v>
      </c>
      <c r="M5" s="22"/>
      <c r="N5" s="22"/>
      <c r="O5" s="22"/>
    </row>
    <row r="6" spans="1:15" s="202" customFormat="1" x14ac:dyDescent="0.25">
      <c r="A6" s="206">
        <v>101</v>
      </c>
      <c r="B6" s="206" t="s">
        <v>474</v>
      </c>
      <c r="C6" s="203" t="s">
        <v>578</v>
      </c>
      <c r="D6" s="203" t="s">
        <v>578</v>
      </c>
      <c r="E6" s="203" t="s">
        <v>631</v>
      </c>
      <c r="F6" s="204" t="s">
        <v>578</v>
      </c>
      <c r="G6" s="206">
        <v>4</v>
      </c>
      <c r="H6" s="203"/>
      <c r="I6" s="203"/>
      <c r="J6" s="203">
        <f t="shared" si="0"/>
        <v>4</v>
      </c>
      <c r="K6" s="203"/>
      <c r="L6" s="203" t="s">
        <v>471</v>
      </c>
      <c r="M6" s="22"/>
      <c r="N6" s="22"/>
      <c r="O6" s="22"/>
    </row>
    <row r="7" spans="1:15" s="202" customFormat="1" x14ac:dyDescent="0.25">
      <c r="A7" s="206">
        <v>95</v>
      </c>
      <c r="B7" s="206" t="s">
        <v>475</v>
      </c>
      <c r="C7" s="203" t="s">
        <v>578</v>
      </c>
      <c r="D7" s="203" t="s">
        <v>578</v>
      </c>
      <c r="E7" s="203" t="s">
        <v>632</v>
      </c>
      <c r="F7" s="204" t="s">
        <v>578</v>
      </c>
      <c r="G7" s="206">
        <v>5</v>
      </c>
      <c r="H7" s="203"/>
      <c r="I7" s="203"/>
      <c r="J7" s="203">
        <f t="shared" si="0"/>
        <v>5</v>
      </c>
      <c r="K7" s="203"/>
      <c r="L7" s="203" t="s">
        <v>633</v>
      </c>
      <c r="M7" s="22"/>
      <c r="N7" s="22"/>
      <c r="O7" s="22"/>
    </row>
    <row r="8" spans="1:15" s="202" customFormat="1" x14ac:dyDescent="0.25">
      <c r="A8" s="206">
        <v>382</v>
      </c>
      <c r="B8" s="206" t="s">
        <v>477</v>
      </c>
      <c r="C8" s="203" t="s">
        <v>578</v>
      </c>
      <c r="D8" s="203" t="s">
        <v>578</v>
      </c>
      <c r="E8" s="203" t="s">
        <v>634</v>
      </c>
      <c r="F8" s="204" t="s">
        <v>578</v>
      </c>
      <c r="G8" s="206">
        <v>3</v>
      </c>
      <c r="H8" s="203"/>
      <c r="I8" s="203"/>
      <c r="J8" s="203">
        <f>G8-N65</f>
        <v>2</v>
      </c>
      <c r="K8" s="203"/>
      <c r="L8" s="203" t="s">
        <v>635</v>
      </c>
      <c r="M8" s="22"/>
      <c r="N8" s="22"/>
      <c r="O8" s="22"/>
    </row>
    <row r="9" spans="1:15" s="202" customFormat="1" ht="30" x14ac:dyDescent="0.25">
      <c r="A9" s="206">
        <v>374</v>
      </c>
      <c r="B9" s="206" t="s">
        <v>479</v>
      </c>
      <c r="C9" s="203" t="s">
        <v>546</v>
      </c>
      <c r="D9" s="203" t="s">
        <v>578</v>
      </c>
      <c r="E9" s="211" t="s">
        <v>636</v>
      </c>
      <c r="F9" s="204"/>
      <c r="G9" s="206">
        <v>3</v>
      </c>
      <c r="H9" s="203"/>
      <c r="I9" s="203"/>
      <c r="J9" s="203">
        <f>G9-N67</f>
        <v>2</v>
      </c>
      <c r="K9" s="203"/>
      <c r="L9" s="211" t="s">
        <v>637</v>
      </c>
      <c r="M9" s="22"/>
      <c r="N9" s="22"/>
      <c r="O9" s="22"/>
    </row>
    <row r="10" spans="1:15" s="202" customFormat="1" x14ac:dyDescent="0.25">
      <c r="A10" s="206">
        <v>380</v>
      </c>
      <c r="B10" s="206" t="s">
        <v>480</v>
      </c>
      <c r="C10" s="203"/>
      <c r="D10" s="203" t="s">
        <v>547</v>
      </c>
      <c r="E10" s="203" t="s">
        <v>638</v>
      </c>
      <c r="F10" s="204"/>
      <c r="G10" s="206">
        <v>3</v>
      </c>
      <c r="H10" s="203"/>
      <c r="I10" s="203"/>
      <c r="J10" s="203">
        <f>G10-N71</f>
        <v>2</v>
      </c>
      <c r="K10" s="203"/>
      <c r="L10" s="203" t="s">
        <v>478</v>
      </c>
      <c r="M10" s="22"/>
      <c r="N10" s="22"/>
      <c r="O10" s="22"/>
    </row>
    <row r="11" spans="1:15" s="202" customFormat="1" x14ac:dyDescent="0.25">
      <c r="A11" s="206">
        <v>377</v>
      </c>
      <c r="B11" s="206" t="s">
        <v>481</v>
      </c>
      <c r="C11" s="203" t="s">
        <v>578</v>
      </c>
      <c r="D11" s="203" t="s">
        <v>578</v>
      </c>
      <c r="E11" s="203" t="s">
        <v>639</v>
      </c>
      <c r="F11" s="204" t="s">
        <v>578</v>
      </c>
      <c r="G11" s="206">
        <v>2</v>
      </c>
      <c r="H11" s="203"/>
      <c r="I11" s="203"/>
      <c r="J11" s="203">
        <f t="shared" si="0"/>
        <v>2</v>
      </c>
      <c r="K11" s="203"/>
      <c r="L11" s="203" t="s">
        <v>482</v>
      </c>
      <c r="M11" s="22"/>
      <c r="N11" s="22"/>
      <c r="O11" s="22"/>
    </row>
    <row r="12" spans="1:15" s="202" customFormat="1" x14ac:dyDescent="0.25">
      <c r="A12" s="206">
        <v>395</v>
      </c>
      <c r="B12" s="206" t="s">
        <v>481</v>
      </c>
      <c r="C12" s="203" t="s">
        <v>578</v>
      </c>
      <c r="D12" s="203" t="s">
        <v>578</v>
      </c>
      <c r="E12" s="203" t="s">
        <v>640</v>
      </c>
      <c r="F12" s="204" t="s">
        <v>578</v>
      </c>
      <c r="G12" s="206">
        <v>5</v>
      </c>
      <c r="H12" s="203"/>
      <c r="I12" s="203"/>
      <c r="J12" s="203">
        <f t="shared" si="0"/>
        <v>5</v>
      </c>
      <c r="K12" s="203"/>
      <c r="L12" s="203" t="s">
        <v>473</v>
      </c>
      <c r="M12" s="22"/>
      <c r="N12" s="22"/>
      <c r="O12" s="22"/>
    </row>
    <row r="13" spans="1:15" s="202" customFormat="1" x14ac:dyDescent="0.25">
      <c r="A13" s="206">
        <v>381</v>
      </c>
      <c r="B13" s="206" t="s">
        <v>483</v>
      </c>
      <c r="C13" s="203" t="s">
        <v>578</v>
      </c>
      <c r="D13" s="203" t="s">
        <v>548</v>
      </c>
      <c r="E13" s="203" t="s">
        <v>549</v>
      </c>
      <c r="F13" s="204" t="s">
        <v>578</v>
      </c>
      <c r="G13" s="206">
        <v>2</v>
      </c>
      <c r="H13" s="203"/>
      <c r="I13" s="203"/>
      <c r="J13" s="203">
        <f t="shared" si="0"/>
        <v>2</v>
      </c>
      <c r="K13" s="203"/>
      <c r="L13" s="203" t="s">
        <v>482</v>
      </c>
      <c r="M13" s="22"/>
      <c r="N13" s="22"/>
      <c r="O13" s="22"/>
    </row>
    <row r="14" spans="1:15" s="202" customFormat="1" x14ac:dyDescent="0.25">
      <c r="A14" s="206"/>
      <c r="B14" s="206" t="s">
        <v>484</v>
      </c>
      <c r="C14" s="203"/>
      <c r="D14" s="203"/>
      <c r="E14" s="203" t="s">
        <v>631</v>
      </c>
      <c r="F14" s="204"/>
      <c r="G14" s="206">
        <v>2</v>
      </c>
      <c r="H14" s="203"/>
      <c r="I14" s="203"/>
      <c r="J14" s="203">
        <f t="shared" si="0"/>
        <v>2</v>
      </c>
      <c r="K14" s="203"/>
      <c r="L14" s="203" t="s">
        <v>482</v>
      </c>
      <c r="M14" s="22"/>
      <c r="N14" s="22"/>
      <c r="O14" s="22"/>
    </row>
    <row r="15" spans="1:15" s="202" customFormat="1" x14ac:dyDescent="0.25">
      <c r="A15" s="206">
        <v>87</v>
      </c>
      <c r="B15" s="206" t="s">
        <v>485</v>
      </c>
      <c r="C15" s="203" t="s">
        <v>578</v>
      </c>
      <c r="D15" s="203" t="s">
        <v>578</v>
      </c>
      <c r="E15" s="203" t="s">
        <v>578</v>
      </c>
      <c r="F15" s="204" t="s">
        <v>578</v>
      </c>
      <c r="G15" s="206">
        <v>3</v>
      </c>
      <c r="H15" s="203"/>
      <c r="I15" s="203"/>
      <c r="J15" s="203">
        <f t="shared" si="0"/>
        <v>3</v>
      </c>
      <c r="K15" s="203"/>
      <c r="L15" s="203" t="s">
        <v>478</v>
      </c>
      <c r="M15" s="22"/>
      <c r="N15" s="22"/>
      <c r="O15" s="22"/>
    </row>
    <row r="16" spans="1:15" s="202" customFormat="1" x14ac:dyDescent="0.25">
      <c r="A16" s="206">
        <v>89</v>
      </c>
      <c r="B16" s="206" t="s">
        <v>486</v>
      </c>
      <c r="C16" s="203" t="s">
        <v>578</v>
      </c>
      <c r="D16" s="203" t="s">
        <v>578</v>
      </c>
      <c r="E16" s="203" t="s">
        <v>631</v>
      </c>
      <c r="F16" s="204" t="s">
        <v>578</v>
      </c>
      <c r="G16" s="206">
        <v>5</v>
      </c>
      <c r="H16" s="203"/>
      <c r="I16" s="203"/>
      <c r="J16" s="203">
        <f t="shared" si="0"/>
        <v>5</v>
      </c>
      <c r="K16" s="203"/>
      <c r="L16" s="203" t="s">
        <v>476</v>
      </c>
      <c r="M16" s="22"/>
      <c r="N16" s="22"/>
      <c r="O16" s="22"/>
    </row>
    <row r="17" spans="1:15" s="202" customFormat="1" x14ac:dyDescent="0.25">
      <c r="A17" s="206">
        <v>86</v>
      </c>
      <c r="B17" s="206" t="s">
        <v>487</v>
      </c>
      <c r="C17" s="203" t="s">
        <v>578</v>
      </c>
      <c r="D17" s="203" t="s">
        <v>578</v>
      </c>
      <c r="E17" s="203" t="s">
        <v>631</v>
      </c>
      <c r="F17" s="204" t="s">
        <v>578</v>
      </c>
      <c r="G17" s="206">
        <v>2</v>
      </c>
      <c r="H17" s="203"/>
      <c r="I17" s="203"/>
      <c r="J17" s="203">
        <f t="shared" si="0"/>
        <v>2</v>
      </c>
      <c r="K17" s="203"/>
      <c r="L17" s="203" t="s">
        <v>482</v>
      </c>
      <c r="M17" s="22"/>
      <c r="N17" s="22"/>
      <c r="O17" s="22"/>
    </row>
    <row r="18" spans="1:15" s="202" customFormat="1" x14ac:dyDescent="0.25">
      <c r="A18" s="206">
        <v>104</v>
      </c>
      <c r="B18" s="206" t="s">
        <v>488</v>
      </c>
      <c r="C18" s="203" t="s">
        <v>578</v>
      </c>
      <c r="D18" s="203" t="s">
        <v>578</v>
      </c>
      <c r="E18" s="203" t="s">
        <v>578</v>
      </c>
      <c r="F18" s="204" t="s">
        <v>578</v>
      </c>
      <c r="G18" s="206">
        <v>4</v>
      </c>
      <c r="H18" s="203"/>
      <c r="I18" s="203"/>
      <c r="J18" s="203">
        <f t="shared" si="0"/>
        <v>4</v>
      </c>
      <c r="K18" s="203"/>
      <c r="L18" s="203" t="s">
        <v>471</v>
      </c>
      <c r="M18" s="22"/>
      <c r="N18" s="22"/>
      <c r="O18" s="22"/>
    </row>
    <row r="19" spans="1:15" s="202" customFormat="1" x14ac:dyDescent="0.25">
      <c r="A19" s="206" t="s">
        <v>578</v>
      </c>
      <c r="B19" s="206" t="s">
        <v>489</v>
      </c>
      <c r="C19" s="203" t="s">
        <v>578</v>
      </c>
      <c r="D19" s="203" t="s">
        <v>578</v>
      </c>
      <c r="E19" s="203" t="s">
        <v>631</v>
      </c>
      <c r="F19" s="204" t="s">
        <v>578</v>
      </c>
      <c r="G19" s="206">
        <v>2</v>
      </c>
      <c r="H19" s="203"/>
      <c r="I19" s="203"/>
      <c r="J19" s="203">
        <f t="shared" si="0"/>
        <v>2</v>
      </c>
      <c r="K19" s="203"/>
      <c r="L19" s="203" t="s">
        <v>482</v>
      </c>
      <c r="M19" s="22"/>
      <c r="N19" s="22"/>
      <c r="O19" s="22"/>
    </row>
    <row r="20" spans="1:15" s="202" customFormat="1" x14ac:dyDescent="0.25">
      <c r="A20" s="206">
        <v>93</v>
      </c>
      <c r="B20" s="206" t="s">
        <v>490</v>
      </c>
      <c r="C20" s="203" t="s">
        <v>578</v>
      </c>
      <c r="D20" s="203" t="s">
        <v>578</v>
      </c>
      <c r="E20" s="203" t="s">
        <v>550</v>
      </c>
      <c r="F20" s="204" t="s">
        <v>578</v>
      </c>
      <c r="G20" s="206">
        <v>5</v>
      </c>
      <c r="H20" s="203"/>
      <c r="I20" s="203"/>
      <c r="J20" s="203">
        <f t="shared" si="0"/>
        <v>5</v>
      </c>
      <c r="K20" s="203"/>
      <c r="L20" s="203" t="s">
        <v>476</v>
      </c>
      <c r="M20" s="22"/>
      <c r="N20" s="22"/>
      <c r="O20" s="22"/>
    </row>
    <row r="21" spans="1:15" s="202" customFormat="1" x14ac:dyDescent="0.25">
      <c r="A21" s="206">
        <v>96</v>
      </c>
      <c r="B21" s="206" t="s">
        <v>491</v>
      </c>
      <c r="C21" s="203" t="s">
        <v>578</v>
      </c>
      <c r="D21" s="203" t="s">
        <v>578</v>
      </c>
      <c r="E21" s="203" t="s">
        <v>641</v>
      </c>
      <c r="F21" s="204" t="s">
        <v>578</v>
      </c>
      <c r="G21" s="206">
        <v>5</v>
      </c>
      <c r="H21" s="203"/>
      <c r="I21" s="203"/>
      <c r="J21" s="203">
        <f t="shared" si="0"/>
        <v>5</v>
      </c>
      <c r="K21" s="203"/>
      <c r="L21" s="203" t="s">
        <v>642</v>
      </c>
      <c r="M21" s="22"/>
      <c r="N21" s="22"/>
      <c r="O21" s="22"/>
    </row>
    <row r="22" spans="1:15" s="202" customFormat="1" x14ac:dyDescent="0.25">
      <c r="A22" s="206" t="s">
        <v>421</v>
      </c>
      <c r="B22" s="206" t="s">
        <v>492</v>
      </c>
      <c r="C22" s="203"/>
      <c r="D22" s="203"/>
      <c r="E22" s="203" t="s">
        <v>549</v>
      </c>
      <c r="F22" s="204"/>
      <c r="G22" s="206">
        <v>4</v>
      </c>
      <c r="H22" s="203"/>
      <c r="I22" s="203"/>
      <c r="J22" s="203">
        <f t="shared" si="0"/>
        <v>4</v>
      </c>
      <c r="K22" s="203"/>
      <c r="L22" s="203" t="s">
        <v>471</v>
      </c>
      <c r="M22" s="22"/>
      <c r="N22" s="22"/>
      <c r="O22" s="22"/>
    </row>
    <row r="23" spans="1:15" s="202" customFormat="1" x14ac:dyDescent="0.25">
      <c r="A23" s="206">
        <v>238</v>
      </c>
      <c r="B23" s="206" t="s">
        <v>487</v>
      </c>
      <c r="C23" s="203" t="s">
        <v>643</v>
      </c>
      <c r="D23" s="203" t="s">
        <v>578</v>
      </c>
      <c r="E23" s="203" t="s">
        <v>578</v>
      </c>
      <c r="F23" s="204" t="s">
        <v>578</v>
      </c>
      <c r="G23" s="206">
        <v>0</v>
      </c>
      <c r="H23" s="203"/>
      <c r="I23" s="203"/>
      <c r="J23" s="203">
        <f t="shared" si="0"/>
        <v>0</v>
      </c>
      <c r="K23" s="203"/>
      <c r="L23" s="206" t="s">
        <v>422</v>
      </c>
      <c r="M23" s="22"/>
      <c r="N23" s="22"/>
      <c r="O23" s="22"/>
    </row>
    <row r="24" spans="1:15" s="202" customFormat="1" x14ac:dyDescent="0.25">
      <c r="A24" s="206" t="s">
        <v>423</v>
      </c>
      <c r="B24" s="206" t="s">
        <v>487</v>
      </c>
      <c r="C24" s="203" t="s">
        <v>578</v>
      </c>
      <c r="D24" s="203" t="s">
        <v>578</v>
      </c>
      <c r="E24" s="203" t="s">
        <v>549</v>
      </c>
      <c r="F24" s="204" t="s">
        <v>578</v>
      </c>
      <c r="G24" s="206">
        <v>5</v>
      </c>
      <c r="H24" s="203"/>
      <c r="I24" s="203"/>
      <c r="J24" s="203">
        <f t="shared" si="0"/>
        <v>5</v>
      </c>
      <c r="K24" s="203"/>
      <c r="L24" s="203" t="s">
        <v>476</v>
      </c>
      <c r="M24" s="22"/>
      <c r="N24" s="22"/>
      <c r="O24" s="22"/>
    </row>
    <row r="25" spans="1:15" s="202" customFormat="1" x14ac:dyDescent="0.25">
      <c r="A25" s="206">
        <v>234</v>
      </c>
      <c r="B25" s="206" t="s">
        <v>484</v>
      </c>
      <c r="C25" s="203" t="s">
        <v>578</v>
      </c>
      <c r="D25" s="203" t="s">
        <v>578</v>
      </c>
      <c r="E25" s="203" t="s">
        <v>549</v>
      </c>
      <c r="F25" s="204" t="s">
        <v>578</v>
      </c>
      <c r="G25" s="206">
        <v>2</v>
      </c>
      <c r="H25" s="203"/>
      <c r="I25" s="203"/>
      <c r="J25" s="203">
        <f t="shared" si="0"/>
        <v>2</v>
      </c>
      <c r="K25" s="203"/>
      <c r="L25" s="203" t="s">
        <v>493</v>
      </c>
      <c r="M25" s="22"/>
      <c r="N25" s="22"/>
      <c r="O25" s="22"/>
    </row>
    <row r="26" spans="1:15" s="202" customFormat="1" x14ac:dyDescent="0.25">
      <c r="A26" s="206">
        <v>239</v>
      </c>
      <c r="B26" s="206" t="s">
        <v>474</v>
      </c>
      <c r="C26" s="203" t="s">
        <v>644</v>
      </c>
      <c r="D26" s="203"/>
      <c r="E26" s="203" t="s">
        <v>549</v>
      </c>
      <c r="F26" s="204"/>
      <c r="G26" s="206">
        <v>2</v>
      </c>
      <c r="H26" s="203"/>
      <c r="I26" s="203"/>
      <c r="J26" s="203">
        <f t="shared" si="0"/>
        <v>2</v>
      </c>
      <c r="K26" s="203"/>
      <c r="L26" s="203" t="s">
        <v>493</v>
      </c>
      <c r="M26" s="22"/>
      <c r="N26" s="22"/>
      <c r="O26" s="22"/>
    </row>
    <row r="27" spans="1:15" s="202" customFormat="1" x14ac:dyDescent="0.25">
      <c r="A27" s="206">
        <v>278</v>
      </c>
      <c r="B27" s="206" t="s">
        <v>489</v>
      </c>
      <c r="C27" s="203" t="s">
        <v>578</v>
      </c>
      <c r="D27" s="203" t="s">
        <v>578</v>
      </c>
      <c r="E27" s="203" t="s">
        <v>549</v>
      </c>
      <c r="F27" s="204" t="s">
        <v>578</v>
      </c>
      <c r="G27" s="206">
        <v>5</v>
      </c>
      <c r="H27" s="203"/>
      <c r="I27" s="203"/>
      <c r="J27" s="203">
        <f t="shared" si="0"/>
        <v>5</v>
      </c>
      <c r="K27" s="203"/>
      <c r="L27" s="203" t="s">
        <v>494</v>
      </c>
      <c r="M27" s="22"/>
      <c r="N27" s="22"/>
      <c r="O27" s="22"/>
    </row>
    <row r="28" spans="1:15" s="202" customFormat="1" x14ac:dyDescent="0.25">
      <c r="A28" s="206">
        <v>424</v>
      </c>
      <c r="B28" s="206" t="s">
        <v>486</v>
      </c>
      <c r="C28" s="203" t="s">
        <v>578</v>
      </c>
      <c r="D28" s="203" t="s">
        <v>578</v>
      </c>
      <c r="E28" s="203" t="s">
        <v>549</v>
      </c>
      <c r="F28" s="204" t="s">
        <v>578</v>
      </c>
      <c r="G28" s="206">
        <v>3</v>
      </c>
      <c r="H28" s="203"/>
      <c r="I28" s="203"/>
      <c r="J28" s="203">
        <f t="shared" si="0"/>
        <v>3</v>
      </c>
      <c r="K28" s="203"/>
      <c r="L28" s="203" t="s">
        <v>495</v>
      </c>
      <c r="M28" s="22"/>
      <c r="N28" s="22"/>
      <c r="O28" s="22"/>
    </row>
    <row r="29" spans="1:15" s="202" customFormat="1" x14ac:dyDescent="0.25">
      <c r="A29" s="206">
        <v>312</v>
      </c>
      <c r="B29" s="206" t="s">
        <v>496</v>
      </c>
      <c r="C29" s="203" t="s">
        <v>578</v>
      </c>
      <c r="D29" s="203" t="s">
        <v>578</v>
      </c>
      <c r="E29" s="203" t="s">
        <v>549</v>
      </c>
      <c r="F29" s="204" t="s">
        <v>578</v>
      </c>
      <c r="G29" s="206">
        <v>4</v>
      </c>
      <c r="H29" s="203"/>
      <c r="I29" s="203"/>
      <c r="J29" s="203">
        <f t="shared" si="0"/>
        <v>4</v>
      </c>
      <c r="K29" s="203"/>
      <c r="L29" s="203" t="s">
        <v>471</v>
      </c>
      <c r="M29" s="22"/>
      <c r="N29" s="22"/>
      <c r="O29" s="22"/>
    </row>
    <row r="30" spans="1:15" s="202" customFormat="1" x14ac:dyDescent="0.25">
      <c r="A30" s="206">
        <v>314</v>
      </c>
      <c r="B30" s="206" t="s">
        <v>497</v>
      </c>
      <c r="C30" s="203" t="s">
        <v>578</v>
      </c>
      <c r="D30" s="203" t="s">
        <v>578</v>
      </c>
      <c r="E30" s="203" t="s">
        <v>549</v>
      </c>
      <c r="F30" s="204" t="s">
        <v>578</v>
      </c>
      <c r="G30" s="206">
        <v>2</v>
      </c>
      <c r="H30" s="203"/>
      <c r="I30" s="203"/>
      <c r="J30" s="203">
        <f t="shared" si="0"/>
        <v>2</v>
      </c>
      <c r="K30" s="203"/>
      <c r="L30" s="203" t="s">
        <v>482</v>
      </c>
      <c r="M30" s="22"/>
      <c r="N30" s="22"/>
      <c r="O30" s="22"/>
    </row>
    <row r="31" spans="1:15" s="202" customFormat="1" x14ac:dyDescent="0.25">
      <c r="A31" s="206">
        <v>311</v>
      </c>
      <c r="B31" s="206" t="s">
        <v>498</v>
      </c>
      <c r="C31" s="203" t="s">
        <v>578</v>
      </c>
      <c r="D31" s="203" t="s">
        <v>578</v>
      </c>
      <c r="E31" s="203" t="s">
        <v>549</v>
      </c>
      <c r="F31" s="204" t="s">
        <v>578</v>
      </c>
      <c r="G31" s="206">
        <v>4</v>
      </c>
      <c r="H31" s="203"/>
      <c r="I31" s="203"/>
      <c r="J31" s="203">
        <f t="shared" si="0"/>
        <v>4</v>
      </c>
      <c r="K31" s="203"/>
      <c r="L31" s="203" t="s">
        <v>471</v>
      </c>
      <c r="M31" s="41"/>
      <c r="N31" s="41"/>
      <c r="O31" s="41"/>
    </row>
    <row r="32" spans="1:15" s="202" customFormat="1" x14ac:dyDescent="0.25">
      <c r="A32" s="206">
        <v>313</v>
      </c>
      <c r="B32" s="206" t="s">
        <v>499</v>
      </c>
      <c r="C32" s="203" t="s">
        <v>578</v>
      </c>
      <c r="D32" s="203" t="s">
        <v>578</v>
      </c>
      <c r="E32" s="203" t="s">
        <v>549</v>
      </c>
      <c r="F32" s="204" t="s">
        <v>578</v>
      </c>
      <c r="G32" s="206">
        <v>4</v>
      </c>
      <c r="H32" s="203"/>
      <c r="I32" s="203"/>
      <c r="J32" s="203">
        <f t="shared" si="0"/>
        <v>4</v>
      </c>
      <c r="K32" s="203"/>
      <c r="L32" s="203" t="s">
        <v>471</v>
      </c>
      <c r="M32" s="26"/>
      <c r="N32" s="26"/>
      <c r="O32" s="26"/>
    </row>
    <row r="33" spans="1:15" s="202" customFormat="1" x14ac:dyDescent="0.25">
      <c r="A33" s="206">
        <v>315</v>
      </c>
      <c r="B33" s="206" t="s">
        <v>500</v>
      </c>
      <c r="C33" s="203" t="s">
        <v>539</v>
      </c>
      <c r="D33" s="203"/>
      <c r="E33" s="203" t="s">
        <v>645</v>
      </c>
      <c r="F33" s="204"/>
      <c r="G33" s="206">
        <v>4</v>
      </c>
      <c r="H33" s="203"/>
      <c r="I33" s="203"/>
      <c r="J33" s="203">
        <f>G33-N66-N69</f>
        <v>2</v>
      </c>
      <c r="K33" s="203"/>
      <c r="L33" s="203" t="s">
        <v>471</v>
      </c>
      <c r="M33" s="26"/>
      <c r="N33" s="26"/>
      <c r="O33" s="26"/>
    </row>
    <row r="34" spans="1:15" s="202" customFormat="1" x14ac:dyDescent="0.25">
      <c r="A34" s="206">
        <v>256</v>
      </c>
      <c r="B34" s="206" t="s">
        <v>501</v>
      </c>
      <c r="C34" s="203" t="s">
        <v>578</v>
      </c>
      <c r="D34" s="203" t="s">
        <v>578</v>
      </c>
      <c r="E34" s="203" t="s">
        <v>578</v>
      </c>
      <c r="F34" s="204" t="s">
        <v>578</v>
      </c>
      <c r="G34" s="206">
        <v>5</v>
      </c>
      <c r="H34" s="203"/>
      <c r="I34" s="203"/>
      <c r="J34" s="203">
        <f>G34-N63</f>
        <v>4</v>
      </c>
      <c r="K34" s="203"/>
      <c r="L34" s="203" t="s">
        <v>517</v>
      </c>
      <c r="M34" s="26"/>
      <c r="N34" s="26"/>
      <c r="O34" s="26"/>
    </row>
    <row r="35" spans="1:15" s="202" customFormat="1" x14ac:dyDescent="0.25">
      <c r="A35" s="206">
        <v>264</v>
      </c>
      <c r="B35" s="206" t="s">
        <v>502</v>
      </c>
      <c r="C35" s="208" t="s">
        <v>646</v>
      </c>
      <c r="D35" s="203" t="s">
        <v>578</v>
      </c>
      <c r="E35" s="203" t="s">
        <v>578</v>
      </c>
      <c r="F35" s="204" t="s">
        <v>578</v>
      </c>
      <c r="G35" s="206">
        <v>5</v>
      </c>
      <c r="H35" s="203"/>
      <c r="I35" s="203"/>
      <c r="J35" s="203">
        <f>G35-N64</f>
        <v>4</v>
      </c>
      <c r="K35" s="203"/>
      <c r="L35" s="203" t="s">
        <v>517</v>
      </c>
      <c r="M35" s="26"/>
      <c r="N35" s="26"/>
      <c r="O35" s="26"/>
    </row>
    <row r="36" spans="1:15" s="202" customFormat="1" x14ac:dyDescent="0.25">
      <c r="A36" s="206">
        <v>427</v>
      </c>
      <c r="B36" s="206" t="s">
        <v>503</v>
      </c>
      <c r="C36" s="208" t="s">
        <v>539</v>
      </c>
      <c r="D36" s="203"/>
      <c r="E36" s="203" t="s">
        <v>647</v>
      </c>
      <c r="F36" s="204"/>
      <c r="G36" s="206">
        <v>4</v>
      </c>
      <c r="H36" s="203"/>
      <c r="I36" s="203"/>
      <c r="J36" s="203">
        <f t="shared" si="0"/>
        <v>4</v>
      </c>
      <c r="K36" s="203"/>
      <c r="L36" s="203" t="s">
        <v>504</v>
      </c>
      <c r="M36" s="26"/>
      <c r="N36" s="26"/>
      <c r="O36" s="26"/>
    </row>
    <row r="37" spans="1:15" s="202" customFormat="1" x14ac:dyDescent="0.25">
      <c r="A37" s="206">
        <v>244</v>
      </c>
      <c r="B37" s="206" t="s">
        <v>503</v>
      </c>
      <c r="C37" s="208" t="s">
        <v>551</v>
      </c>
      <c r="D37" s="203" t="s">
        <v>552</v>
      </c>
      <c r="E37" s="203" t="s">
        <v>578</v>
      </c>
      <c r="F37" s="204" t="s">
        <v>578</v>
      </c>
      <c r="G37" s="206">
        <v>5</v>
      </c>
      <c r="H37" s="203"/>
      <c r="I37" s="203"/>
      <c r="J37" s="203">
        <f t="shared" si="0"/>
        <v>5</v>
      </c>
      <c r="K37" s="203"/>
      <c r="L37" s="203" t="s">
        <v>505</v>
      </c>
      <c r="M37" s="26"/>
      <c r="N37" s="26"/>
      <c r="O37" s="26"/>
    </row>
    <row r="38" spans="1:15" s="202" customFormat="1" x14ac:dyDescent="0.25">
      <c r="A38" s="206">
        <v>425</v>
      </c>
      <c r="B38" s="206" t="s">
        <v>506</v>
      </c>
      <c r="C38" s="208" t="s">
        <v>539</v>
      </c>
      <c r="D38" s="203"/>
      <c r="E38" s="203" t="s">
        <v>648</v>
      </c>
      <c r="F38" s="204"/>
      <c r="G38" s="206">
        <v>4</v>
      </c>
      <c r="H38" s="203"/>
      <c r="I38" s="203"/>
      <c r="J38" s="203">
        <f t="shared" si="0"/>
        <v>4</v>
      </c>
      <c r="K38" s="203"/>
      <c r="L38" s="203" t="s">
        <v>471</v>
      </c>
      <c r="M38" s="26"/>
      <c r="N38" s="26"/>
      <c r="O38" s="26"/>
    </row>
    <row r="39" spans="1:15" s="202" customFormat="1" x14ac:dyDescent="0.25">
      <c r="A39" s="206">
        <v>88</v>
      </c>
      <c r="B39" s="206" t="s">
        <v>492</v>
      </c>
      <c r="C39" s="203" t="s">
        <v>578</v>
      </c>
      <c r="D39" s="203" t="s">
        <v>578</v>
      </c>
      <c r="E39" s="203" t="s">
        <v>631</v>
      </c>
      <c r="F39" s="204" t="s">
        <v>578</v>
      </c>
      <c r="G39" s="206">
        <v>2</v>
      </c>
      <c r="H39" s="203"/>
      <c r="I39" s="203"/>
      <c r="J39" s="203">
        <f t="shared" si="0"/>
        <v>2</v>
      </c>
      <c r="K39" s="203"/>
      <c r="L39" s="203" t="s">
        <v>482</v>
      </c>
      <c r="M39" s="26"/>
      <c r="N39" s="26"/>
      <c r="O39" s="26"/>
    </row>
    <row r="40" spans="1:15" s="202" customFormat="1" x14ac:dyDescent="0.25">
      <c r="A40" s="206">
        <v>100</v>
      </c>
      <c r="B40" s="206" t="s">
        <v>506</v>
      </c>
      <c r="C40" s="203" t="s">
        <v>539</v>
      </c>
      <c r="D40" s="203"/>
      <c r="E40" s="203" t="s">
        <v>648</v>
      </c>
      <c r="F40" s="204"/>
      <c r="G40" s="206">
        <v>5</v>
      </c>
      <c r="H40" s="203"/>
      <c r="I40" s="203"/>
      <c r="J40" s="203">
        <f t="shared" si="0"/>
        <v>5</v>
      </c>
      <c r="K40" s="203"/>
      <c r="L40" s="203" t="s">
        <v>507</v>
      </c>
      <c r="M40" s="26"/>
      <c r="N40" s="26"/>
      <c r="O40" s="26"/>
    </row>
    <row r="41" spans="1:15" s="202" customFormat="1" x14ac:dyDescent="0.25">
      <c r="A41" s="206">
        <v>388</v>
      </c>
      <c r="B41" s="206" t="s">
        <v>508</v>
      </c>
      <c r="C41" s="203" t="s">
        <v>644</v>
      </c>
      <c r="D41" s="203" t="s">
        <v>578</v>
      </c>
      <c r="E41" s="203" t="s">
        <v>649</v>
      </c>
      <c r="F41" s="204" t="s">
        <v>578</v>
      </c>
      <c r="G41" s="206">
        <v>4</v>
      </c>
      <c r="H41" s="203"/>
      <c r="I41" s="203"/>
      <c r="J41" s="203">
        <f t="shared" si="0"/>
        <v>4</v>
      </c>
      <c r="K41" s="203"/>
      <c r="L41" s="203" t="s">
        <v>509</v>
      </c>
      <c r="M41" s="26"/>
      <c r="N41" s="26"/>
      <c r="O41" s="26"/>
    </row>
    <row r="42" spans="1:15" s="202" customFormat="1" x14ac:dyDescent="0.25">
      <c r="A42" s="206">
        <v>225</v>
      </c>
      <c r="B42" s="206" t="s">
        <v>510</v>
      </c>
      <c r="C42" s="203" t="s">
        <v>578</v>
      </c>
      <c r="D42" s="203" t="s">
        <v>578</v>
      </c>
      <c r="E42" s="203" t="s">
        <v>578</v>
      </c>
      <c r="F42" s="204" t="s">
        <v>578</v>
      </c>
      <c r="G42" s="206">
        <v>2</v>
      </c>
      <c r="H42" s="203"/>
      <c r="I42" s="203"/>
      <c r="J42" s="203">
        <f t="shared" si="0"/>
        <v>2</v>
      </c>
      <c r="K42" s="203"/>
      <c r="L42" s="203" t="s">
        <v>511</v>
      </c>
      <c r="M42" s="26"/>
      <c r="N42" s="26"/>
      <c r="O42" s="26"/>
    </row>
    <row r="43" spans="1:15" s="202" customFormat="1" ht="30" x14ac:dyDescent="0.25">
      <c r="A43" s="206">
        <v>434</v>
      </c>
      <c r="B43" s="206" t="s">
        <v>512</v>
      </c>
      <c r="C43" s="203" t="s">
        <v>539</v>
      </c>
      <c r="D43" s="203" t="s">
        <v>578</v>
      </c>
      <c r="E43" s="203" t="s">
        <v>650</v>
      </c>
      <c r="F43" s="204" t="s">
        <v>578</v>
      </c>
      <c r="G43" s="206">
        <v>5</v>
      </c>
      <c r="H43" s="203"/>
      <c r="I43" s="203"/>
      <c r="J43" s="203">
        <f>G43-N61-N62</f>
        <v>1</v>
      </c>
      <c r="K43" s="203"/>
      <c r="L43" s="211" t="s">
        <v>651</v>
      </c>
      <c r="M43" s="26"/>
      <c r="N43" s="26"/>
      <c r="O43" s="26"/>
    </row>
    <row r="44" spans="1:15" s="202" customFormat="1" x14ac:dyDescent="0.25">
      <c r="A44" s="206">
        <v>263</v>
      </c>
      <c r="B44" s="206" t="s">
        <v>513</v>
      </c>
      <c r="C44" s="203" t="s">
        <v>539</v>
      </c>
      <c r="D44" s="203"/>
      <c r="E44" s="203" t="s">
        <v>632</v>
      </c>
      <c r="F44" s="204"/>
      <c r="G44" s="206">
        <v>4</v>
      </c>
      <c r="H44" s="203"/>
      <c r="I44" s="203"/>
      <c r="J44" s="203">
        <f t="shared" si="0"/>
        <v>4</v>
      </c>
      <c r="K44" s="203"/>
      <c r="L44" s="203" t="s">
        <v>504</v>
      </c>
      <c r="M44" s="26"/>
      <c r="N44" s="26"/>
      <c r="O44" s="26"/>
    </row>
    <row r="45" spans="1:15" s="202" customFormat="1" x14ac:dyDescent="0.25">
      <c r="A45" s="206">
        <v>262</v>
      </c>
      <c r="B45" s="206" t="s">
        <v>514</v>
      </c>
      <c r="C45" s="203" t="s">
        <v>652</v>
      </c>
      <c r="D45" s="203" t="s">
        <v>578</v>
      </c>
      <c r="E45" s="203" t="s">
        <v>632</v>
      </c>
      <c r="F45" s="204" t="s">
        <v>578</v>
      </c>
      <c r="G45" s="206">
        <v>5</v>
      </c>
      <c r="H45" s="203"/>
      <c r="I45" s="203"/>
      <c r="J45" s="203">
        <f t="shared" si="0"/>
        <v>5</v>
      </c>
      <c r="K45" s="203"/>
      <c r="L45" s="203" t="s">
        <v>515</v>
      </c>
      <c r="M45" s="26"/>
      <c r="N45" s="26"/>
      <c r="O45" s="26"/>
    </row>
    <row r="46" spans="1:15" s="202" customFormat="1" x14ac:dyDescent="0.25">
      <c r="A46" s="206">
        <v>259</v>
      </c>
      <c r="B46" s="206" t="s">
        <v>516</v>
      </c>
      <c r="C46" s="203" t="s">
        <v>578</v>
      </c>
      <c r="D46" s="203" t="s">
        <v>578</v>
      </c>
      <c r="E46" s="203" t="s">
        <v>578</v>
      </c>
      <c r="F46" s="204" t="s">
        <v>578</v>
      </c>
      <c r="G46" s="206">
        <v>4</v>
      </c>
      <c r="H46" s="203"/>
      <c r="I46" s="203"/>
      <c r="J46" s="203">
        <f t="shared" si="0"/>
        <v>4</v>
      </c>
      <c r="K46" s="203"/>
      <c r="L46" s="203" t="s">
        <v>517</v>
      </c>
      <c r="M46" s="26"/>
      <c r="N46" s="26"/>
      <c r="O46" s="26"/>
    </row>
    <row r="47" spans="1:15" s="202" customFormat="1" x14ac:dyDescent="0.25">
      <c r="A47" s="206">
        <v>426</v>
      </c>
      <c r="B47" s="206" t="s">
        <v>516</v>
      </c>
      <c r="C47" s="203" t="s">
        <v>539</v>
      </c>
      <c r="D47" s="203" t="s">
        <v>578</v>
      </c>
      <c r="E47" s="203" t="s">
        <v>578</v>
      </c>
      <c r="F47" s="204" t="s">
        <v>578</v>
      </c>
      <c r="G47" s="206">
        <v>2</v>
      </c>
      <c r="H47" s="203"/>
      <c r="I47" s="203"/>
      <c r="J47" s="203">
        <f>G47-N60-N70</f>
        <v>0</v>
      </c>
      <c r="K47" s="203"/>
      <c r="L47" s="203" t="s">
        <v>534</v>
      </c>
      <c r="M47" s="26"/>
      <c r="N47" s="26"/>
      <c r="O47" s="26"/>
    </row>
    <row r="48" spans="1:15" s="202" customFormat="1" x14ac:dyDescent="0.25">
      <c r="A48" s="206">
        <v>299</v>
      </c>
      <c r="B48" s="206" t="s">
        <v>518</v>
      </c>
      <c r="C48" s="203" t="s">
        <v>539</v>
      </c>
      <c r="D48" s="203"/>
      <c r="E48" s="203" t="s">
        <v>653</v>
      </c>
      <c r="F48" s="204"/>
      <c r="G48" s="206">
        <v>5</v>
      </c>
      <c r="H48" s="203"/>
      <c r="I48" s="203"/>
      <c r="J48" s="203">
        <f t="shared" si="0"/>
        <v>5</v>
      </c>
      <c r="K48" s="203"/>
      <c r="L48" s="203" t="s">
        <v>473</v>
      </c>
      <c r="M48" s="26"/>
      <c r="N48" s="26"/>
      <c r="O48" s="26"/>
    </row>
    <row r="49" spans="1:15" s="202" customFormat="1" x14ac:dyDescent="0.25">
      <c r="A49" s="206">
        <v>298</v>
      </c>
      <c r="B49" s="206" t="s">
        <v>470</v>
      </c>
      <c r="C49" s="203" t="s">
        <v>578</v>
      </c>
      <c r="D49" s="203" t="s">
        <v>578</v>
      </c>
      <c r="E49" s="203" t="s">
        <v>578</v>
      </c>
      <c r="F49" s="204" t="s">
        <v>578</v>
      </c>
      <c r="G49" s="206">
        <v>4</v>
      </c>
      <c r="H49" s="203"/>
      <c r="I49" s="203"/>
      <c r="J49" s="203">
        <f t="shared" si="0"/>
        <v>4</v>
      </c>
      <c r="K49" s="203"/>
      <c r="L49" s="203" t="s">
        <v>519</v>
      </c>
      <c r="M49" s="26"/>
      <c r="N49" s="26"/>
      <c r="O49" s="26"/>
    </row>
    <row r="50" spans="1:15" s="202" customFormat="1" x14ac:dyDescent="0.25">
      <c r="A50" s="206">
        <v>281</v>
      </c>
      <c r="B50" s="206" t="s">
        <v>520</v>
      </c>
      <c r="C50" s="203" t="s">
        <v>578</v>
      </c>
      <c r="D50" s="203" t="s">
        <v>578</v>
      </c>
      <c r="E50" s="203" t="s">
        <v>578</v>
      </c>
      <c r="F50" s="204" t="s">
        <v>578</v>
      </c>
      <c r="G50" s="206">
        <v>5</v>
      </c>
      <c r="H50" s="203"/>
      <c r="I50" s="203"/>
      <c r="J50" s="203">
        <f t="shared" si="0"/>
        <v>5</v>
      </c>
      <c r="K50" s="203"/>
      <c r="L50" s="203" t="s">
        <v>521</v>
      </c>
      <c r="M50" s="26"/>
      <c r="N50" s="26"/>
      <c r="O50" s="26"/>
    </row>
    <row r="51" spans="1:15" s="202" customFormat="1" x14ac:dyDescent="0.25">
      <c r="A51" s="206">
        <v>258</v>
      </c>
      <c r="B51" s="206" t="s">
        <v>522</v>
      </c>
      <c r="C51" s="203" t="s">
        <v>539</v>
      </c>
      <c r="D51" s="203" t="s">
        <v>578</v>
      </c>
      <c r="E51" s="203" t="s">
        <v>578</v>
      </c>
      <c r="F51" s="204" t="s">
        <v>578</v>
      </c>
      <c r="G51" s="206">
        <v>4</v>
      </c>
      <c r="H51" s="203"/>
      <c r="I51" s="203"/>
      <c r="J51" s="203">
        <f t="shared" si="0"/>
        <v>4</v>
      </c>
      <c r="K51" s="203"/>
      <c r="L51" s="203" t="s">
        <v>515</v>
      </c>
      <c r="M51" s="26"/>
      <c r="N51" s="26"/>
      <c r="O51" s="26"/>
    </row>
    <row r="52" spans="1:15" s="202" customFormat="1" x14ac:dyDescent="0.25">
      <c r="A52" s="206">
        <v>280</v>
      </c>
      <c r="B52" s="206" t="s">
        <v>523</v>
      </c>
      <c r="C52" s="203" t="s">
        <v>539</v>
      </c>
      <c r="D52" s="203" t="s">
        <v>654</v>
      </c>
      <c r="E52" s="203" t="s">
        <v>578</v>
      </c>
      <c r="F52" s="204" t="s">
        <v>578</v>
      </c>
      <c r="G52" s="206">
        <v>4</v>
      </c>
      <c r="H52" s="203"/>
      <c r="I52" s="203"/>
      <c r="J52" s="203">
        <f t="shared" si="0"/>
        <v>4</v>
      </c>
      <c r="K52" s="203"/>
      <c r="L52" s="203" t="s">
        <v>524</v>
      </c>
      <c r="M52" s="26"/>
      <c r="N52" s="26"/>
      <c r="O52" s="26"/>
    </row>
    <row r="53" spans="1:15" s="202" customFormat="1" x14ac:dyDescent="0.25">
      <c r="A53" s="217">
        <v>260</v>
      </c>
      <c r="B53" s="217" t="s">
        <v>525</v>
      </c>
      <c r="C53" s="216" t="s">
        <v>655</v>
      </c>
      <c r="D53" s="216" t="s">
        <v>578</v>
      </c>
      <c r="E53" s="216" t="s">
        <v>578</v>
      </c>
      <c r="F53" s="218" t="s">
        <v>578</v>
      </c>
      <c r="G53" s="217">
        <v>5</v>
      </c>
      <c r="H53" s="216"/>
      <c r="I53" s="216"/>
      <c r="J53" s="216" t="s">
        <v>351</v>
      </c>
      <c r="K53" s="216"/>
      <c r="L53" s="216" t="s">
        <v>526</v>
      </c>
      <c r="M53" s="58"/>
      <c r="N53" s="58"/>
      <c r="O53" s="58"/>
    </row>
    <row r="54" spans="1:15" s="202" customFormat="1" x14ac:dyDescent="0.25">
      <c r="A54" s="206" t="s">
        <v>667</v>
      </c>
      <c r="B54" s="206" t="s">
        <v>668</v>
      </c>
      <c r="C54" s="203" t="s">
        <v>539</v>
      </c>
      <c r="D54" s="203" t="s">
        <v>578</v>
      </c>
      <c r="E54" s="203" t="s">
        <v>578</v>
      </c>
      <c r="F54" s="204" t="s">
        <v>578</v>
      </c>
      <c r="G54" s="206">
        <v>5</v>
      </c>
      <c r="H54" s="203"/>
      <c r="I54" s="203"/>
      <c r="J54" s="203">
        <f>G54-N68</f>
        <v>4</v>
      </c>
      <c r="K54" s="203"/>
      <c r="L54" s="203" t="s">
        <v>507</v>
      </c>
      <c r="M54" s="22"/>
      <c r="N54" s="22"/>
      <c r="O54" s="22"/>
    </row>
    <row r="55" spans="1:15" s="202" customFormat="1" x14ac:dyDescent="0.25">
      <c r="A55" s="206"/>
      <c r="B55" s="206" t="s">
        <v>729</v>
      </c>
      <c r="C55" s="203" t="s">
        <v>539</v>
      </c>
      <c r="D55" s="203" t="s">
        <v>578</v>
      </c>
      <c r="E55" s="203" t="s">
        <v>578</v>
      </c>
      <c r="F55" s="204" t="s">
        <v>578</v>
      </c>
      <c r="G55" s="206">
        <v>2</v>
      </c>
      <c r="H55" s="203"/>
      <c r="I55" s="203"/>
      <c r="J55" s="203">
        <f>G55</f>
        <v>2</v>
      </c>
      <c r="K55" s="203"/>
      <c r="L55" s="203" t="s">
        <v>730</v>
      </c>
      <c r="M55" s="22"/>
      <c r="N55" s="22"/>
      <c r="O55" s="22"/>
    </row>
    <row r="56" spans="1:15" s="202" customFormat="1" ht="30" x14ac:dyDescent="0.25">
      <c r="A56" s="206"/>
      <c r="B56" s="206" t="s">
        <v>731</v>
      </c>
      <c r="C56" s="203" t="s">
        <v>539</v>
      </c>
      <c r="D56" s="203" t="s">
        <v>578</v>
      </c>
      <c r="E56" s="203" t="s">
        <v>578</v>
      </c>
      <c r="F56" s="204" t="s">
        <v>578</v>
      </c>
      <c r="G56" s="206">
        <v>3</v>
      </c>
      <c r="H56" s="203"/>
      <c r="I56" s="203"/>
      <c r="J56" s="203">
        <f>G56</f>
        <v>3</v>
      </c>
      <c r="K56" s="203"/>
      <c r="L56" s="211" t="s">
        <v>732</v>
      </c>
      <c r="M56" s="22"/>
      <c r="N56" s="22"/>
      <c r="O56" s="22"/>
    </row>
    <row r="57" spans="1:15" s="202" customFormat="1" ht="30" x14ac:dyDescent="0.25">
      <c r="A57" s="206"/>
      <c r="B57" s="206" t="s">
        <v>733</v>
      </c>
      <c r="C57" s="203" t="s">
        <v>539</v>
      </c>
      <c r="D57" s="203" t="s">
        <v>578</v>
      </c>
      <c r="E57" s="203" t="s">
        <v>578</v>
      </c>
      <c r="F57" s="204" t="s">
        <v>578</v>
      </c>
      <c r="G57" s="206">
        <v>1</v>
      </c>
      <c r="H57" s="203"/>
      <c r="I57" s="203"/>
      <c r="J57" s="203">
        <f>G57</f>
        <v>1</v>
      </c>
      <c r="K57" s="203"/>
      <c r="L57" s="211" t="s">
        <v>739</v>
      </c>
      <c r="M57" s="22"/>
      <c r="N57" s="22"/>
      <c r="O57" s="22"/>
    </row>
    <row r="58" spans="1:15" s="202" customFormat="1" ht="30" x14ac:dyDescent="0.25">
      <c r="A58" s="206"/>
      <c r="B58" s="206" t="s">
        <v>734</v>
      </c>
      <c r="C58" s="203" t="s">
        <v>539</v>
      </c>
      <c r="D58" s="203" t="s">
        <v>578</v>
      </c>
      <c r="E58" s="203" t="s">
        <v>578</v>
      </c>
      <c r="F58" s="204" t="s">
        <v>578</v>
      </c>
      <c r="G58" s="206">
        <v>2</v>
      </c>
      <c r="H58" s="203"/>
      <c r="I58" s="203"/>
      <c r="J58" s="203">
        <f>G58</f>
        <v>2</v>
      </c>
      <c r="K58" s="203"/>
      <c r="L58" s="211" t="s">
        <v>735</v>
      </c>
      <c r="M58" s="22"/>
      <c r="N58" s="22"/>
      <c r="O58" s="22"/>
    </row>
    <row r="59" spans="1:15" x14ac:dyDescent="0.25">
      <c r="A59" s="63" t="s">
        <v>195</v>
      </c>
      <c r="B59" s="64"/>
      <c r="C59" s="64"/>
      <c r="D59" s="65"/>
      <c r="E59" s="65"/>
      <c r="F59" s="64"/>
      <c r="G59" s="64"/>
      <c r="H59" s="64"/>
      <c r="I59" s="64"/>
      <c r="J59" s="64"/>
      <c r="K59" s="64"/>
      <c r="L59" s="270"/>
      <c r="M59" s="270"/>
      <c r="N59" s="270"/>
      <c r="O59" s="271"/>
    </row>
    <row r="60" spans="1:15" s="202" customFormat="1" x14ac:dyDescent="0.25">
      <c r="A60" s="206">
        <v>426</v>
      </c>
      <c r="B60" s="206" t="s">
        <v>516</v>
      </c>
      <c r="C60" s="203" t="s">
        <v>539</v>
      </c>
      <c r="D60" s="203"/>
      <c r="E60" s="203"/>
      <c r="F60" s="204"/>
      <c r="G60" s="206"/>
      <c r="H60" s="203"/>
      <c r="I60" s="203"/>
      <c r="J60" s="203"/>
      <c r="K60" s="203"/>
      <c r="L60" s="203"/>
      <c r="M60" s="51">
        <v>45811</v>
      </c>
      <c r="N60" s="26">
        <v>1</v>
      </c>
      <c r="O60" s="26" t="s">
        <v>533</v>
      </c>
    </row>
    <row r="61" spans="1:15" s="202" customFormat="1" x14ac:dyDescent="0.25">
      <c r="A61" s="206">
        <v>434</v>
      </c>
      <c r="B61" s="206" t="s">
        <v>512</v>
      </c>
      <c r="C61" s="203" t="s">
        <v>539</v>
      </c>
      <c r="D61" s="203"/>
      <c r="E61" s="203"/>
      <c r="F61" s="204"/>
      <c r="G61" s="206"/>
      <c r="H61" s="203"/>
      <c r="I61" s="203"/>
      <c r="J61" s="203"/>
      <c r="K61" s="203"/>
      <c r="L61" s="203" t="s">
        <v>473</v>
      </c>
      <c r="M61" s="51">
        <v>45849</v>
      </c>
      <c r="N61" s="26">
        <v>2</v>
      </c>
      <c r="O61" s="26" t="s">
        <v>568</v>
      </c>
    </row>
    <row r="62" spans="1:15" s="202" customFormat="1" x14ac:dyDescent="0.25">
      <c r="A62" s="206">
        <v>434</v>
      </c>
      <c r="B62" s="206" t="s">
        <v>512</v>
      </c>
      <c r="C62" s="203" t="s">
        <v>539</v>
      </c>
      <c r="D62" s="203"/>
      <c r="E62" s="203"/>
      <c r="F62" s="204"/>
      <c r="G62" s="206"/>
      <c r="H62" s="203"/>
      <c r="I62" s="203"/>
      <c r="J62" s="203"/>
      <c r="K62" s="203"/>
      <c r="L62" s="203" t="s">
        <v>473</v>
      </c>
      <c r="M62" s="51">
        <v>45853</v>
      </c>
      <c r="N62" s="26">
        <v>2</v>
      </c>
      <c r="O62" s="26" t="s">
        <v>571</v>
      </c>
    </row>
    <row r="63" spans="1:15" s="202" customFormat="1" x14ac:dyDescent="0.25">
      <c r="A63" s="206">
        <v>256</v>
      </c>
      <c r="B63" s="206" t="s">
        <v>501</v>
      </c>
      <c r="C63" s="203" t="s">
        <v>539</v>
      </c>
      <c r="D63" s="203"/>
      <c r="E63" s="203"/>
      <c r="F63" s="204"/>
      <c r="G63" s="206"/>
      <c r="H63" s="203"/>
      <c r="I63" s="203"/>
      <c r="J63" s="203"/>
      <c r="K63" s="216"/>
      <c r="L63" s="216"/>
      <c r="M63" s="95">
        <v>45853</v>
      </c>
      <c r="N63" s="58">
        <v>1</v>
      </c>
      <c r="O63" s="58" t="s">
        <v>568</v>
      </c>
    </row>
    <row r="64" spans="1:15" s="202" customFormat="1" x14ac:dyDescent="0.25">
      <c r="A64" s="206">
        <v>264</v>
      </c>
      <c r="B64" s="206" t="s">
        <v>502</v>
      </c>
      <c r="C64" s="208" t="s">
        <v>646</v>
      </c>
      <c r="D64" s="203"/>
      <c r="E64" s="203"/>
      <c r="F64" s="204"/>
      <c r="G64" s="204"/>
      <c r="H64" s="203"/>
      <c r="I64" s="203"/>
      <c r="J64" s="203"/>
      <c r="K64" s="203"/>
      <c r="L64" s="203"/>
      <c r="M64" s="23">
        <v>45853</v>
      </c>
      <c r="N64" s="22">
        <v>1</v>
      </c>
      <c r="O64" s="22" t="s">
        <v>568</v>
      </c>
    </row>
    <row r="65" spans="1:15" s="202" customFormat="1" ht="30" x14ac:dyDescent="0.25">
      <c r="A65" s="206">
        <v>382</v>
      </c>
      <c r="B65" s="206" t="s">
        <v>477</v>
      </c>
      <c r="C65" s="203" t="s">
        <v>578</v>
      </c>
      <c r="D65" s="203"/>
      <c r="E65" s="203"/>
      <c r="F65" s="204"/>
      <c r="G65" s="206"/>
      <c r="H65" s="203"/>
      <c r="I65" s="203"/>
      <c r="J65" s="203"/>
      <c r="K65" s="203"/>
      <c r="L65" s="203" t="s">
        <v>635</v>
      </c>
      <c r="M65" s="23">
        <v>45944</v>
      </c>
      <c r="N65" s="22">
        <v>1</v>
      </c>
      <c r="O65" s="225" t="s">
        <v>695</v>
      </c>
    </row>
    <row r="66" spans="1:15" s="202" customFormat="1" ht="30" x14ac:dyDescent="0.25">
      <c r="A66" s="206">
        <v>315</v>
      </c>
      <c r="B66" s="206" t="s">
        <v>500</v>
      </c>
      <c r="C66" s="203" t="s">
        <v>539</v>
      </c>
      <c r="D66" s="203"/>
      <c r="E66" s="203"/>
      <c r="F66" s="204"/>
      <c r="G66" s="206"/>
      <c r="H66" s="203"/>
      <c r="I66" s="203"/>
      <c r="J66" s="203"/>
      <c r="K66" s="203"/>
      <c r="L66" s="203" t="s">
        <v>471</v>
      </c>
      <c r="M66" s="23">
        <v>45944</v>
      </c>
      <c r="N66" s="22">
        <v>1</v>
      </c>
      <c r="O66" s="225" t="s">
        <v>695</v>
      </c>
    </row>
    <row r="67" spans="1:15" s="202" customFormat="1" ht="30" x14ac:dyDescent="0.25">
      <c r="A67" s="206">
        <v>374</v>
      </c>
      <c r="B67" s="206" t="s">
        <v>479</v>
      </c>
      <c r="C67" s="203" t="s">
        <v>546</v>
      </c>
      <c r="D67" s="203"/>
      <c r="E67" s="211"/>
      <c r="F67" s="204"/>
      <c r="G67" s="206"/>
      <c r="H67" s="203"/>
      <c r="I67" s="203"/>
      <c r="J67" s="203"/>
      <c r="K67" s="203"/>
      <c r="L67" s="211" t="s">
        <v>637</v>
      </c>
      <c r="M67" s="23">
        <v>45944</v>
      </c>
      <c r="N67" s="22">
        <v>1</v>
      </c>
      <c r="O67" s="225" t="s">
        <v>695</v>
      </c>
    </row>
    <row r="68" spans="1:15" s="202" customFormat="1" x14ac:dyDescent="0.25">
      <c r="A68" s="206" t="s">
        <v>667</v>
      </c>
      <c r="B68" s="206" t="s">
        <v>668</v>
      </c>
      <c r="C68" s="203" t="s">
        <v>539</v>
      </c>
      <c r="D68" s="203"/>
      <c r="E68" s="203"/>
      <c r="F68" s="204"/>
      <c r="G68" s="206"/>
      <c r="H68" s="203"/>
      <c r="I68" s="203"/>
      <c r="J68" s="203"/>
      <c r="K68" s="203"/>
      <c r="L68" s="203" t="s">
        <v>507</v>
      </c>
      <c r="M68" s="23">
        <v>45981</v>
      </c>
      <c r="N68" s="22">
        <v>1</v>
      </c>
      <c r="O68" s="22" t="s">
        <v>687</v>
      </c>
    </row>
    <row r="69" spans="1:15" s="202" customFormat="1" ht="30" x14ac:dyDescent="0.25">
      <c r="A69" s="206">
        <v>315</v>
      </c>
      <c r="B69" s="206" t="s">
        <v>500</v>
      </c>
      <c r="C69" s="203" t="s">
        <v>539</v>
      </c>
      <c r="D69" s="203"/>
      <c r="E69" s="203"/>
      <c r="F69" s="204"/>
      <c r="G69" s="206"/>
      <c r="H69" s="203"/>
      <c r="I69" s="203"/>
      <c r="J69" s="203"/>
      <c r="K69" s="203"/>
      <c r="L69" s="203" t="s">
        <v>471</v>
      </c>
      <c r="M69" s="23">
        <v>45981</v>
      </c>
      <c r="N69" s="22">
        <v>1</v>
      </c>
      <c r="O69" s="225" t="s">
        <v>695</v>
      </c>
    </row>
    <row r="70" spans="1:15" s="202" customFormat="1" x14ac:dyDescent="0.25">
      <c r="A70" s="206">
        <v>426</v>
      </c>
      <c r="B70" s="206" t="s">
        <v>516</v>
      </c>
      <c r="C70" s="203" t="s">
        <v>539</v>
      </c>
      <c r="D70" s="203"/>
      <c r="E70" s="203"/>
      <c r="F70" s="204"/>
      <c r="G70" s="206"/>
      <c r="H70" s="203"/>
      <c r="I70" s="203"/>
      <c r="J70" s="203"/>
      <c r="K70" s="203"/>
      <c r="L70" s="203"/>
      <c r="M70" s="51">
        <v>45981</v>
      </c>
      <c r="N70" s="26">
        <v>1</v>
      </c>
      <c r="O70" s="26" t="s">
        <v>716</v>
      </c>
    </row>
    <row r="71" spans="1:15" s="202" customFormat="1" x14ac:dyDescent="0.25">
      <c r="A71" s="206">
        <v>380</v>
      </c>
      <c r="B71" s="206" t="s">
        <v>480</v>
      </c>
      <c r="C71" s="203"/>
      <c r="D71" s="203"/>
      <c r="E71" s="203"/>
      <c r="F71" s="204"/>
      <c r="G71" s="206"/>
      <c r="H71" s="203"/>
      <c r="I71" s="203"/>
      <c r="J71" s="203"/>
      <c r="K71" s="203"/>
      <c r="L71" s="203" t="s">
        <v>478</v>
      </c>
      <c r="M71" s="23">
        <v>45981</v>
      </c>
      <c r="N71" s="22">
        <v>1</v>
      </c>
      <c r="O71" s="22" t="s">
        <v>687</v>
      </c>
    </row>
    <row r="72" spans="1:15" x14ac:dyDescent="0.25">
      <c r="A72" s="226"/>
      <c r="B72" s="226"/>
      <c r="C72" s="226"/>
      <c r="D72" s="226"/>
      <c r="E72" s="226"/>
      <c r="F72" s="227"/>
      <c r="G72" s="227"/>
      <c r="H72" s="226"/>
      <c r="I72" s="226"/>
      <c r="J72" s="226"/>
      <c r="K72" s="226"/>
      <c r="L72" s="226"/>
      <c r="M72" s="26"/>
      <c r="N72" s="26"/>
      <c r="O72" s="26"/>
    </row>
    <row r="73" spans="1:15" x14ac:dyDescent="0.25">
      <c r="A73" s="226"/>
      <c r="B73" s="226"/>
      <c r="C73" s="226"/>
      <c r="D73" s="226"/>
      <c r="E73" s="226"/>
      <c r="F73" s="227"/>
      <c r="G73" s="227"/>
      <c r="H73" s="226"/>
      <c r="I73" s="226"/>
      <c r="J73" s="226"/>
      <c r="K73" s="226"/>
      <c r="L73" s="226"/>
      <c r="M73" s="26"/>
      <c r="N73" s="26"/>
      <c r="O73" s="26"/>
    </row>
    <row r="74" spans="1:15" x14ac:dyDescent="0.25">
      <c r="A74" s="226"/>
      <c r="B74" s="226"/>
      <c r="C74" s="226"/>
      <c r="D74" s="226"/>
      <c r="E74" s="226"/>
      <c r="F74" s="227"/>
      <c r="G74" s="227"/>
      <c r="H74" s="226"/>
      <c r="I74" s="226"/>
      <c r="J74" s="226"/>
      <c r="K74" s="226"/>
      <c r="L74" s="226"/>
      <c r="M74" s="26"/>
      <c r="N74" s="26"/>
      <c r="O74" s="26"/>
    </row>
    <row r="75" spans="1:15" x14ac:dyDescent="0.25">
      <c r="A75" s="226"/>
      <c r="B75" s="226"/>
      <c r="C75" s="226"/>
      <c r="D75" s="226"/>
      <c r="E75" s="226"/>
      <c r="F75" s="227"/>
      <c r="G75" s="227"/>
      <c r="H75" s="226"/>
      <c r="I75" s="226"/>
      <c r="J75" s="226"/>
      <c r="K75" s="226"/>
      <c r="L75" s="226"/>
      <c r="M75" s="26"/>
      <c r="N75" s="26"/>
      <c r="O75" s="26"/>
    </row>
    <row r="76" spans="1:15" x14ac:dyDescent="0.25">
      <c r="A76" s="226"/>
      <c r="B76" s="226"/>
      <c r="C76" s="226"/>
      <c r="D76" s="226"/>
      <c r="E76" s="226"/>
      <c r="F76" s="227"/>
      <c r="G76" s="227"/>
      <c r="H76" s="226"/>
      <c r="I76" s="226"/>
      <c r="J76" s="226"/>
      <c r="K76" s="226"/>
      <c r="L76" s="226"/>
      <c r="M76" s="26"/>
      <c r="N76" s="26"/>
      <c r="O76" s="26"/>
    </row>
    <row r="77" spans="1:15" x14ac:dyDescent="0.25">
      <c r="A77" s="226"/>
      <c r="B77" s="226"/>
      <c r="C77" s="226"/>
      <c r="D77" s="226"/>
      <c r="E77" s="226"/>
      <c r="F77" s="227"/>
      <c r="G77" s="227"/>
      <c r="H77" s="226"/>
      <c r="I77" s="226"/>
      <c r="J77" s="226"/>
      <c r="K77" s="226"/>
      <c r="L77" s="226"/>
      <c r="M77" s="26"/>
      <c r="N77" s="26"/>
      <c r="O77" s="26"/>
    </row>
    <row r="78" spans="1:15" x14ac:dyDescent="0.25">
      <c r="A78" s="226"/>
      <c r="B78" s="226"/>
      <c r="C78" s="226"/>
      <c r="D78" s="226"/>
      <c r="E78" s="226"/>
      <c r="F78" s="227"/>
      <c r="G78" s="227"/>
      <c r="H78" s="226"/>
      <c r="I78" s="226"/>
      <c r="J78" s="226"/>
      <c r="K78" s="226"/>
      <c r="L78" s="226"/>
      <c r="M78" s="26"/>
      <c r="N78" s="26"/>
      <c r="O78" s="26"/>
    </row>
    <row r="79" spans="1:15" x14ac:dyDescent="0.25">
      <c r="A79" s="226"/>
      <c r="B79" s="226"/>
      <c r="C79" s="226"/>
      <c r="D79" s="226"/>
      <c r="E79" s="226"/>
      <c r="F79" s="227"/>
      <c r="G79" s="227"/>
      <c r="H79" s="226"/>
      <c r="I79" s="226"/>
      <c r="J79" s="226"/>
      <c r="K79" s="226"/>
      <c r="L79" s="226"/>
      <c r="M79" s="26"/>
      <c r="N79" s="26"/>
      <c r="O79" s="26"/>
    </row>
    <row r="80" spans="1:15" x14ac:dyDescent="0.25">
      <c r="A80" s="226"/>
      <c r="B80" s="226"/>
      <c r="C80" s="226"/>
      <c r="D80" s="226"/>
      <c r="E80" s="226"/>
      <c r="F80" s="227"/>
      <c r="G80" s="227"/>
      <c r="H80" s="226"/>
      <c r="I80" s="226"/>
      <c r="J80" s="226"/>
      <c r="K80" s="226"/>
      <c r="L80" s="226"/>
      <c r="M80" s="26"/>
      <c r="N80" s="26"/>
      <c r="O80" s="26"/>
    </row>
    <row r="81" spans="1:15" x14ac:dyDescent="0.25">
      <c r="A81" s="226"/>
      <c r="B81" s="226"/>
      <c r="C81" s="226"/>
      <c r="D81" s="226"/>
      <c r="E81" s="226"/>
      <c r="F81" s="227"/>
      <c r="G81" s="227"/>
      <c r="H81" s="226"/>
      <c r="I81" s="226"/>
      <c r="J81" s="226"/>
      <c r="K81" s="226"/>
      <c r="L81" s="226"/>
      <c r="M81" s="26"/>
      <c r="N81" s="26"/>
      <c r="O81" s="26"/>
    </row>
    <row r="82" spans="1:15" x14ac:dyDescent="0.25">
      <c r="A82" s="226"/>
      <c r="B82" s="226"/>
      <c r="C82" s="226"/>
      <c r="D82" s="226"/>
      <c r="E82" s="226"/>
      <c r="F82" s="227"/>
      <c r="G82" s="227"/>
      <c r="H82" s="226"/>
      <c r="I82" s="226"/>
      <c r="J82" s="226"/>
      <c r="K82" s="226"/>
      <c r="L82" s="226"/>
      <c r="M82" s="26"/>
      <c r="N82" s="26"/>
      <c r="O82" s="26"/>
    </row>
    <row r="83" spans="1:15" x14ac:dyDescent="0.25">
      <c r="A83" s="226"/>
      <c r="B83" s="228"/>
      <c r="C83" s="228"/>
      <c r="D83" s="226"/>
      <c r="E83" s="226"/>
      <c r="F83" s="227"/>
      <c r="G83" s="227"/>
      <c r="H83" s="226"/>
      <c r="I83" s="226"/>
      <c r="J83" s="226"/>
      <c r="K83" s="226"/>
      <c r="L83" s="226"/>
      <c r="M83" s="26"/>
      <c r="N83" s="26"/>
      <c r="O83" s="26"/>
    </row>
    <row r="84" spans="1:15" x14ac:dyDescent="0.25">
      <c r="A84" s="226"/>
      <c r="B84" s="226"/>
      <c r="C84" s="226"/>
      <c r="D84" s="226"/>
      <c r="E84" s="226"/>
      <c r="F84" s="227"/>
      <c r="G84" s="227"/>
      <c r="H84" s="226"/>
      <c r="I84" s="226"/>
      <c r="J84" s="226"/>
      <c r="K84" s="226"/>
      <c r="L84" s="226"/>
      <c r="M84" s="26"/>
      <c r="N84" s="26"/>
      <c r="O84" s="26"/>
    </row>
    <row r="85" spans="1:15" x14ac:dyDescent="0.25">
      <c r="A85" s="226"/>
      <c r="B85" s="226"/>
      <c r="C85" s="226"/>
      <c r="D85" s="226"/>
      <c r="E85" s="226"/>
      <c r="F85" s="227"/>
      <c r="G85" s="227"/>
      <c r="H85" s="226"/>
      <c r="I85" s="226"/>
      <c r="J85" s="226"/>
      <c r="K85" s="226"/>
      <c r="L85" s="226"/>
      <c r="M85" s="58"/>
      <c r="N85" s="58"/>
      <c r="O85" s="58"/>
    </row>
    <row r="86" spans="1:15" x14ac:dyDescent="0.25">
      <c r="A86" s="226"/>
      <c r="B86" s="226"/>
      <c r="C86" s="226"/>
      <c r="D86" s="226"/>
      <c r="E86" s="226"/>
      <c r="F86" s="227"/>
      <c r="G86" s="227"/>
      <c r="H86" s="226"/>
      <c r="I86" s="226"/>
      <c r="J86" s="226"/>
      <c r="K86" s="226"/>
      <c r="L86" s="226"/>
      <c r="M86" s="22"/>
      <c r="N86" s="22"/>
      <c r="O86" s="22"/>
    </row>
    <row r="87" spans="1:15" x14ac:dyDescent="0.25">
      <c r="A87" s="226"/>
      <c r="B87" s="228"/>
      <c r="C87" s="228"/>
      <c r="D87" s="226"/>
      <c r="E87" s="226"/>
      <c r="F87" s="227"/>
      <c r="G87" s="227"/>
      <c r="H87" s="226"/>
      <c r="I87" s="226"/>
      <c r="J87" s="226"/>
      <c r="K87" s="226"/>
      <c r="L87" s="226"/>
      <c r="M87" s="22"/>
      <c r="N87" s="22"/>
      <c r="O87" s="22"/>
    </row>
    <row r="88" spans="1:15" x14ac:dyDescent="0.25">
      <c r="A88" s="226"/>
      <c r="B88" s="226"/>
      <c r="C88" s="226"/>
      <c r="D88" s="226"/>
      <c r="E88" s="226"/>
      <c r="F88" s="227"/>
      <c r="G88" s="227"/>
      <c r="H88" s="226"/>
      <c r="I88" s="226"/>
      <c r="J88" s="226"/>
      <c r="K88" s="226"/>
      <c r="L88" s="226"/>
      <c r="M88" s="22"/>
      <c r="N88" s="22"/>
      <c r="O88" s="22"/>
    </row>
    <row r="89" spans="1:15" x14ac:dyDescent="0.25">
      <c r="A89" s="226"/>
      <c r="B89" s="226"/>
      <c r="C89" s="226"/>
      <c r="D89" s="226"/>
      <c r="E89" s="226"/>
      <c r="F89" s="227"/>
      <c r="G89" s="227"/>
      <c r="H89" s="226"/>
      <c r="I89" s="226"/>
      <c r="J89" s="226"/>
      <c r="K89" s="226"/>
      <c r="L89" s="226"/>
      <c r="M89" s="22"/>
      <c r="N89" s="22"/>
      <c r="O89" s="22"/>
    </row>
    <row r="90" spans="1:15" x14ac:dyDescent="0.25">
      <c r="A90" s="226"/>
      <c r="B90" s="226"/>
      <c r="C90" s="226"/>
      <c r="D90" s="226"/>
      <c r="E90" s="226"/>
      <c r="F90" s="227"/>
      <c r="G90" s="227"/>
      <c r="H90" s="226"/>
      <c r="I90" s="226"/>
      <c r="J90" s="226"/>
      <c r="K90" s="226"/>
      <c r="L90" s="226"/>
      <c r="M90" s="22"/>
      <c r="N90" s="22"/>
      <c r="O90" s="22"/>
    </row>
    <row r="91" spans="1:15" x14ac:dyDescent="0.25">
      <c r="A91" s="226"/>
      <c r="B91" s="226"/>
      <c r="C91" s="226"/>
      <c r="D91" s="226"/>
      <c r="E91" s="226"/>
      <c r="F91" s="227"/>
      <c r="G91" s="227"/>
      <c r="H91" s="226"/>
      <c r="I91" s="226"/>
      <c r="J91" s="226"/>
      <c r="K91" s="226"/>
      <c r="L91" s="226"/>
      <c r="M91" s="22"/>
      <c r="N91" s="22"/>
      <c r="O91" s="22"/>
    </row>
    <row r="92" spans="1:15" x14ac:dyDescent="0.25">
      <c r="A92" s="226"/>
      <c r="B92" s="226"/>
      <c r="C92" s="226"/>
      <c r="D92" s="226"/>
      <c r="E92" s="226"/>
      <c r="F92" s="227"/>
      <c r="G92" s="227"/>
      <c r="H92" s="226"/>
      <c r="I92" s="226"/>
      <c r="J92" s="226"/>
      <c r="K92" s="226"/>
      <c r="L92" s="226"/>
      <c r="M92" s="22"/>
      <c r="N92" s="22"/>
      <c r="O92" s="22"/>
    </row>
    <row r="93" spans="1:15" x14ac:dyDescent="0.25">
      <c r="A93" s="226"/>
      <c r="B93" s="226"/>
      <c r="C93" s="226"/>
      <c r="D93" s="226"/>
      <c r="E93" s="226"/>
      <c r="F93" s="226"/>
      <c r="G93" s="226"/>
      <c r="H93" s="226"/>
      <c r="I93" s="226"/>
      <c r="J93" s="226"/>
      <c r="K93" s="226"/>
      <c r="L93" s="226"/>
      <c r="M93" s="22"/>
      <c r="N93" s="22"/>
      <c r="O93" s="22"/>
    </row>
    <row r="94" spans="1:15" x14ac:dyDescent="0.25">
      <c r="A94" s="226"/>
      <c r="B94" s="226"/>
      <c r="C94" s="226"/>
      <c r="D94" s="226"/>
      <c r="E94" s="226"/>
      <c r="F94" s="227"/>
      <c r="G94" s="227"/>
      <c r="H94" s="226"/>
      <c r="I94" s="226"/>
      <c r="J94" s="226"/>
      <c r="K94" s="226"/>
      <c r="L94" s="226"/>
      <c r="M94" s="22"/>
      <c r="N94" s="22"/>
      <c r="O94" s="22"/>
    </row>
    <row r="95" spans="1:15" x14ac:dyDescent="0.25">
      <c r="A95" s="226"/>
      <c r="B95" s="226"/>
      <c r="C95" s="226"/>
      <c r="D95" s="226"/>
      <c r="E95" s="226"/>
      <c r="F95" s="227"/>
      <c r="G95" s="227"/>
      <c r="H95" s="226"/>
      <c r="I95" s="226"/>
      <c r="J95" s="226"/>
      <c r="K95" s="226"/>
      <c r="L95" s="226"/>
      <c r="M95" s="22"/>
      <c r="N95" s="22"/>
      <c r="O95" s="22"/>
    </row>
  </sheetData>
  <sheetProtection autoFilter="0"/>
  <autoFilter ref="A1:O71" xr:uid="{94D2109B-425A-4460-BB37-51546E119BCB}"/>
  <mergeCells count="1">
    <mergeCell ref="L59:O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theme="8"/>
    <pageSetUpPr fitToPage="1"/>
  </sheetPr>
  <dimension ref="A1:I83"/>
  <sheetViews>
    <sheetView view="pageBreakPreview" workbookViewId="0">
      <selection activeCell="A114" sqref="A114"/>
    </sheetView>
  </sheetViews>
  <sheetFormatPr defaultColWidth="9" defaultRowHeight="15" x14ac:dyDescent="0.25"/>
  <cols>
    <col min="1" max="4" width="16.85546875" customWidth="1"/>
    <col min="5" max="5" width="12.42578125" bestFit="1" customWidth="1"/>
    <col min="6" max="7" width="16.85546875" customWidth="1"/>
    <col min="8" max="8" width="20.140625" customWidth="1"/>
    <col min="9" max="9" width="16.28515625" customWidth="1"/>
  </cols>
  <sheetData>
    <row r="1" spans="1:8" ht="31.5" x14ac:dyDescent="0.25">
      <c r="A1" s="120" t="s">
        <v>240</v>
      </c>
      <c r="B1" s="120" t="s">
        <v>241</v>
      </c>
      <c r="C1" s="121" t="s">
        <v>242</v>
      </c>
      <c r="D1" s="122" t="s">
        <v>0</v>
      </c>
      <c r="E1" s="123" t="s">
        <v>243</v>
      </c>
      <c r="F1" s="124" t="s">
        <v>7</v>
      </c>
      <c r="G1" s="123" t="s">
        <v>244</v>
      </c>
      <c r="H1" s="125" t="s">
        <v>245</v>
      </c>
    </row>
    <row r="2" spans="1:8" hidden="1" x14ac:dyDescent="0.25">
      <c r="A2" s="272" t="s">
        <v>246</v>
      </c>
      <c r="B2" s="272"/>
      <c r="C2" s="272"/>
      <c r="D2" s="272"/>
      <c r="E2" s="272"/>
      <c r="F2" s="272"/>
      <c r="G2" s="272"/>
      <c r="H2" s="272"/>
    </row>
    <row r="3" spans="1:8" hidden="1" x14ac:dyDescent="0.25">
      <c r="A3" s="186">
        <v>1</v>
      </c>
      <c r="B3" s="127" t="s">
        <v>247</v>
      </c>
      <c r="C3" s="128">
        <v>1324</v>
      </c>
      <c r="D3" s="129" t="s">
        <v>248</v>
      </c>
      <c r="E3" s="130">
        <v>10</v>
      </c>
      <c r="F3" s="131">
        <f t="shared" ref="F3:F9" si="0">E3+H3</f>
        <v>10</v>
      </c>
      <c r="G3" s="132" t="s">
        <v>249</v>
      </c>
      <c r="H3" s="133"/>
    </row>
    <row r="4" spans="1:8" ht="30" hidden="1" x14ac:dyDescent="0.25">
      <c r="A4" s="186">
        <v>1</v>
      </c>
      <c r="B4" s="127" t="s">
        <v>247</v>
      </c>
      <c r="C4" s="128">
        <v>1324</v>
      </c>
      <c r="D4" s="129" t="s">
        <v>250</v>
      </c>
      <c r="E4" s="130">
        <v>19</v>
      </c>
      <c r="F4" s="131">
        <f t="shared" si="0"/>
        <v>23</v>
      </c>
      <c r="G4" s="132" t="s">
        <v>358</v>
      </c>
      <c r="H4" s="132" t="s">
        <v>252</v>
      </c>
    </row>
    <row r="5" spans="1:8" hidden="1" x14ac:dyDescent="0.25">
      <c r="A5" s="186">
        <v>1</v>
      </c>
      <c r="B5" s="127" t="s">
        <v>247</v>
      </c>
      <c r="C5" s="128">
        <v>1324</v>
      </c>
      <c r="D5" s="129" t="s">
        <v>253</v>
      </c>
      <c r="E5" s="130">
        <v>2</v>
      </c>
      <c r="F5" s="131">
        <f t="shared" si="0"/>
        <v>2</v>
      </c>
      <c r="G5" s="132" t="s">
        <v>254</v>
      </c>
      <c r="H5" s="132" t="s">
        <v>255</v>
      </c>
    </row>
    <row r="6" spans="1:8" hidden="1" x14ac:dyDescent="0.25">
      <c r="A6" s="186">
        <v>1</v>
      </c>
      <c r="B6" s="127" t="s">
        <v>247</v>
      </c>
      <c r="C6" s="128">
        <v>1324</v>
      </c>
      <c r="D6" s="129" t="s">
        <v>253</v>
      </c>
      <c r="E6" s="130">
        <v>2</v>
      </c>
      <c r="F6" s="131">
        <f t="shared" si="0"/>
        <v>2</v>
      </c>
      <c r="G6" s="134" t="s">
        <v>256</v>
      </c>
      <c r="H6" s="134">
        <v>0</v>
      </c>
    </row>
    <row r="7" spans="1:8" hidden="1" x14ac:dyDescent="0.25">
      <c r="A7" s="186">
        <v>2</v>
      </c>
      <c r="B7" s="127" t="s">
        <v>247</v>
      </c>
      <c r="C7" s="128">
        <v>1324</v>
      </c>
      <c r="D7" s="129" t="s">
        <v>257</v>
      </c>
      <c r="E7" s="130">
        <v>0</v>
      </c>
      <c r="F7" s="131">
        <f t="shared" si="0"/>
        <v>3</v>
      </c>
      <c r="G7" s="135" t="s">
        <v>251</v>
      </c>
      <c r="H7" s="135">
        <v>3</v>
      </c>
    </row>
    <row r="8" spans="1:8" hidden="1" x14ac:dyDescent="0.25">
      <c r="A8" s="186">
        <v>1</v>
      </c>
      <c r="B8" s="127" t="s">
        <v>247</v>
      </c>
      <c r="C8" s="128">
        <v>1324</v>
      </c>
      <c r="D8" s="129" t="s">
        <v>258</v>
      </c>
      <c r="E8" s="130">
        <v>15</v>
      </c>
      <c r="F8" s="131">
        <f t="shared" si="0"/>
        <v>19</v>
      </c>
      <c r="G8" s="135" t="s">
        <v>259</v>
      </c>
      <c r="H8" s="135">
        <v>4</v>
      </c>
    </row>
    <row r="9" spans="1:8" hidden="1" x14ac:dyDescent="0.25">
      <c r="A9" s="186">
        <v>1</v>
      </c>
      <c r="B9" s="127" t="s">
        <v>247</v>
      </c>
      <c r="C9" s="128">
        <v>1324</v>
      </c>
      <c r="D9" s="129" t="s">
        <v>260</v>
      </c>
      <c r="E9" s="130">
        <v>255</v>
      </c>
      <c r="F9" s="131">
        <f t="shared" si="0"/>
        <v>255</v>
      </c>
      <c r="G9" s="136" t="s">
        <v>261</v>
      </c>
      <c r="H9" s="135">
        <v>0</v>
      </c>
    </row>
    <row r="10" spans="1:8" hidden="1" x14ac:dyDescent="0.25">
      <c r="A10" s="186">
        <v>3</v>
      </c>
      <c r="B10" s="137" t="s">
        <v>247</v>
      </c>
      <c r="C10" s="128">
        <v>1324</v>
      </c>
      <c r="D10" s="129" t="s">
        <v>262</v>
      </c>
      <c r="E10" s="130">
        <v>3</v>
      </c>
      <c r="F10" s="131">
        <f t="shared" ref="F10:F64" si="1">E10+H10</f>
        <v>3</v>
      </c>
      <c r="G10" s="136" t="s">
        <v>263</v>
      </c>
      <c r="H10" s="135">
        <v>0</v>
      </c>
    </row>
    <row r="11" spans="1:8" hidden="1" x14ac:dyDescent="0.25">
      <c r="A11" s="186">
        <v>2</v>
      </c>
      <c r="B11" s="137" t="s">
        <v>247</v>
      </c>
      <c r="C11" s="128">
        <v>1324</v>
      </c>
      <c r="D11" s="129" t="s">
        <v>264</v>
      </c>
      <c r="E11" s="130">
        <v>18</v>
      </c>
      <c r="F11" s="131">
        <f t="shared" si="1"/>
        <v>18</v>
      </c>
      <c r="G11" s="135" t="s">
        <v>265</v>
      </c>
      <c r="H11" s="132" t="s">
        <v>255</v>
      </c>
    </row>
    <row r="12" spans="1:8" hidden="1" x14ac:dyDescent="0.25">
      <c r="A12" s="186">
        <v>3</v>
      </c>
      <c r="B12" s="137" t="s">
        <v>247</v>
      </c>
      <c r="C12" s="128">
        <v>1324</v>
      </c>
      <c r="D12" s="129" t="s">
        <v>266</v>
      </c>
      <c r="E12" s="130">
        <v>0</v>
      </c>
      <c r="F12" s="131">
        <f t="shared" si="1"/>
        <v>50</v>
      </c>
      <c r="G12" s="136" t="s">
        <v>251</v>
      </c>
      <c r="H12" s="132" t="s">
        <v>362</v>
      </c>
    </row>
    <row r="13" spans="1:8" hidden="1" x14ac:dyDescent="0.25">
      <c r="A13" s="186">
        <v>1</v>
      </c>
      <c r="B13" s="137" t="s">
        <v>247</v>
      </c>
      <c r="C13" s="128">
        <v>1324</v>
      </c>
      <c r="D13" s="129" t="s">
        <v>267</v>
      </c>
      <c r="E13" s="130">
        <v>16</v>
      </c>
      <c r="F13" s="131">
        <f t="shared" si="1"/>
        <v>16</v>
      </c>
      <c r="G13" s="138" t="s">
        <v>268</v>
      </c>
      <c r="H13" s="135">
        <v>0</v>
      </c>
    </row>
    <row r="14" spans="1:8" hidden="1" x14ac:dyDescent="0.25">
      <c r="A14" s="186">
        <v>1</v>
      </c>
      <c r="B14" s="137" t="s">
        <v>247</v>
      </c>
      <c r="C14" s="128">
        <v>1324</v>
      </c>
      <c r="D14" s="129" t="s">
        <v>269</v>
      </c>
      <c r="E14" s="130">
        <v>22</v>
      </c>
      <c r="F14" s="131">
        <f t="shared" si="1"/>
        <v>22</v>
      </c>
      <c r="G14" s="138" t="s">
        <v>254</v>
      </c>
      <c r="H14" s="135">
        <v>0</v>
      </c>
    </row>
    <row r="15" spans="1:8" hidden="1" x14ac:dyDescent="0.25">
      <c r="A15" s="186">
        <v>1</v>
      </c>
      <c r="B15" s="137" t="s">
        <v>247</v>
      </c>
      <c r="C15" s="128">
        <v>1324</v>
      </c>
      <c r="D15" s="129" t="s">
        <v>270</v>
      </c>
      <c r="E15" s="130">
        <v>1</v>
      </c>
      <c r="F15" s="131">
        <f t="shared" si="1"/>
        <v>100</v>
      </c>
      <c r="G15" s="138" t="s">
        <v>259</v>
      </c>
      <c r="H15" s="135">
        <v>99</v>
      </c>
    </row>
    <row r="16" spans="1:8" hidden="1" x14ac:dyDescent="0.25">
      <c r="A16" s="186">
        <v>1</v>
      </c>
      <c r="B16" s="137" t="s">
        <v>247</v>
      </c>
      <c r="C16" s="128">
        <v>1324</v>
      </c>
      <c r="D16" s="129" t="s">
        <v>271</v>
      </c>
      <c r="E16" s="130">
        <v>0</v>
      </c>
      <c r="F16" s="131">
        <f t="shared" si="1"/>
        <v>1</v>
      </c>
      <c r="G16" s="138" t="s">
        <v>251</v>
      </c>
      <c r="H16" s="135">
        <v>1</v>
      </c>
    </row>
    <row r="17" spans="1:8" hidden="1" x14ac:dyDescent="0.25">
      <c r="A17" s="186">
        <v>1</v>
      </c>
      <c r="B17" s="137" t="s">
        <v>247</v>
      </c>
      <c r="C17" s="128">
        <v>1324</v>
      </c>
      <c r="D17" s="129" t="s">
        <v>272</v>
      </c>
      <c r="E17" s="130">
        <v>97</v>
      </c>
      <c r="F17" s="131">
        <f t="shared" si="1"/>
        <v>314</v>
      </c>
      <c r="G17" s="136" t="s">
        <v>359</v>
      </c>
      <c r="H17" s="135">
        <v>217</v>
      </c>
    </row>
    <row r="18" spans="1:8" hidden="1" x14ac:dyDescent="0.25">
      <c r="A18" s="186">
        <v>2</v>
      </c>
      <c r="B18" s="137" t="s">
        <v>247</v>
      </c>
      <c r="C18" s="139">
        <v>1324</v>
      </c>
      <c r="D18" s="140" t="s">
        <v>273</v>
      </c>
      <c r="E18" s="130">
        <v>0</v>
      </c>
      <c r="F18" s="131">
        <f t="shared" si="1"/>
        <v>10</v>
      </c>
      <c r="G18" s="136" t="s">
        <v>251</v>
      </c>
      <c r="H18" s="135">
        <v>10</v>
      </c>
    </row>
    <row r="19" spans="1:8" hidden="1" x14ac:dyDescent="0.25">
      <c r="A19" s="186">
        <v>1</v>
      </c>
      <c r="B19" s="141" t="s">
        <v>247</v>
      </c>
      <c r="C19" s="128">
        <v>1324</v>
      </c>
      <c r="D19" s="129" t="s">
        <v>275</v>
      </c>
      <c r="E19" s="130">
        <v>26</v>
      </c>
      <c r="F19" s="131">
        <f t="shared" si="1"/>
        <v>42</v>
      </c>
      <c r="G19" s="136" t="s">
        <v>259</v>
      </c>
      <c r="H19" s="142">
        <v>16</v>
      </c>
    </row>
    <row r="20" spans="1:8" hidden="1" x14ac:dyDescent="0.25">
      <c r="A20" s="186">
        <v>2</v>
      </c>
      <c r="B20" s="141" t="s">
        <v>247</v>
      </c>
      <c r="C20" s="128">
        <v>1324</v>
      </c>
      <c r="D20" s="129" t="s">
        <v>276</v>
      </c>
      <c r="E20" s="130">
        <v>0</v>
      </c>
      <c r="F20" s="131">
        <f t="shared" si="1"/>
        <v>90</v>
      </c>
      <c r="G20" s="136" t="s">
        <v>251</v>
      </c>
      <c r="H20" s="142">
        <v>90</v>
      </c>
    </row>
    <row r="21" spans="1:8" s="143" customFormat="1" ht="14.25" hidden="1" customHeight="1" x14ac:dyDescent="0.25">
      <c r="A21" s="187">
        <v>3</v>
      </c>
      <c r="B21" s="141" t="s">
        <v>247</v>
      </c>
      <c r="C21" s="128">
        <v>1324</v>
      </c>
      <c r="D21" s="129" t="s">
        <v>276</v>
      </c>
      <c r="E21" s="130">
        <v>6</v>
      </c>
      <c r="F21" s="131">
        <f t="shared" si="1"/>
        <v>75</v>
      </c>
      <c r="G21" s="145" t="s">
        <v>261</v>
      </c>
      <c r="H21" s="142">
        <v>69</v>
      </c>
    </row>
    <row r="22" spans="1:8" hidden="1" x14ac:dyDescent="0.25">
      <c r="A22" s="186">
        <v>2</v>
      </c>
      <c r="B22" s="141" t="s">
        <v>247</v>
      </c>
      <c r="C22" s="128">
        <v>1324</v>
      </c>
      <c r="D22" s="129" t="s">
        <v>277</v>
      </c>
      <c r="E22" s="130">
        <v>0</v>
      </c>
      <c r="F22" s="131">
        <f t="shared" si="1"/>
        <v>132</v>
      </c>
      <c r="G22" s="135" t="s">
        <v>251</v>
      </c>
      <c r="H22" s="146">
        <v>132</v>
      </c>
    </row>
    <row r="23" spans="1:8" ht="13.5" hidden="1" customHeight="1" x14ac:dyDescent="0.25">
      <c r="A23" s="186">
        <v>2</v>
      </c>
      <c r="B23" s="141" t="s">
        <v>247</v>
      </c>
      <c r="C23" s="128">
        <v>1324</v>
      </c>
      <c r="D23" s="129" t="s">
        <v>278</v>
      </c>
      <c r="E23" s="130">
        <v>7</v>
      </c>
      <c r="F23" s="131">
        <f t="shared" si="1"/>
        <v>7</v>
      </c>
      <c r="G23" s="135" t="s">
        <v>265</v>
      </c>
      <c r="H23" s="132" t="s">
        <v>255</v>
      </c>
    </row>
    <row r="24" spans="1:8" ht="13.5" hidden="1" customHeight="1" x14ac:dyDescent="0.25">
      <c r="A24" s="186">
        <v>3</v>
      </c>
      <c r="B24" s="141" t="s">
        <v>247</v>
      </c>
      <c r="C24" s="139">
        <v>1324</v>
      </c>
      <c r="D24" s="140" t="s">
        <v>279</v>
      </c>
      <c r="E24" s="130">
        <v>0</v>
      </c>
      <c r="F24" s="131">
        <f t="shared" si="1"/>
        <v>13</v>
      </c>
      <c r="G24" s="135" t="s">
        <v>251</v>
      </c>
      <c r="H24" s="132" t="s">
        <v>363</v>
      </c>
    </row>
    <row r="25" spans="1:8" hidden="1" x14ac:dyDescent="0.25">
      <c r="A25" s="186">
        <v>1</v>
      </c>
      <c r="B25" s="141" t="s">
        <v>247</v>
      </c>
      <c r="C25" s="128">
        <v>1324</v>
      </c>
      <c r="D25" s="129" t="s">
        <v>280</v>
      </c>
      <c r="E25" s="130">
        <v>3</v>
      </c>
      <c r="F25" s="131">
        <f t="shared" si="1"/>
        <v>6</v>
      </c>
      <c r="G25" s="135" t="s">
        <v>274</v>
      </c>
      <c r="H25" s="135">
        <v>3</v>
      </c>
    </row>
    <row r="26" spans="1:8" hidden="1" x14ac:dyDescent="0.25">
      <c r="A26" s="186">
        <v>1</v>
      </c>
      <c r="B26" s="141" t="s">
        <v>247</v>
      </c>
      <c r="C26" s="128">
        <v>1324</v>
      </c>
      <c r="D26" s="129" t="s">
        <v>281</v>
      </c>
      <c r="E26" s="130">
        <v>0</v>
      </c>
      <c r="F26" s="131">
        <f t="shared" si="1"/>
        <v>47</v>
      </c>
      <c r="G26" s="135" t="s">
        <v>251</v>
      </c>
      <c r="H26" s="135">
        <v>47</v>
      </c>
    </row>
    <row r="27" spans="1:8" hidden="1" x14ac:dyDescent="0.25">
      <c r="A27" s="186">
        <v>1</v>
      </c>
      <c r="B27" s="141" t="s">
        <v>247</v>
      </c>
      <c r="C27" s="128">
        <v>1324</v>
      </c>
      <c r="D27" s="129" t="s">
        <v>282</v>
      </c>
      <c r="E27" s="130">
        <v>19</v>
      </c>
      <c r="F27" s="131">
        <f t="shared" si="1"/>
        <v>19</v>
      </c>
      <c r="G27" s="135" t="s">
        <v>274</v>
      </c>
      <c r="H27" s="135">
        <v>0</v>
      </c>
    </row>
    <row r="28" spans="1:8" hidden="1" x14ac:dyDescent="0.25">
      <c r="A28" s="186">
        <v>2</v>
      </c>
      <c r="B28" s="141" t="s">
        <v>247</v>
      </c>
      <c r="C28" s="128">
        <v>1324</v>
      </c>
      <c r="D28" s="129" t="s">
        <v>283</v>
      </c>
      <c r="E28" s="130">
        <v>62</v>
      </c>
      <c r="F28" s="131">
        <f t="shared" si="1"/>
        <v>62</v>
      </c>
      <c r="G28" s="147" t="s">
        <v>268</v>
      </c>
      <c r="H28" s="130">
        <v>0</v>
      </c>
    </row>
    <row r="29" spans="1:8" hidden="1" x14ac:dyDescent="0.25">
      <c r="A29" s="186">
        <v>2</v>
      </c>
      <c r="B29" s="141" t="s">
        <v>247</v>
      </c>
      <c r="C29" s="128">
        <v>1324</v>
      </c>
      <c r="D29" s="129" t="s">
        <v>284</v>
      </c>
      <c r="E29" s="130">
        <v>3</v>
      </c>
      <c r="F29" s="131">
        <f t="shared" si="1"/>
        <v>1077</v>
      </c>
      <c r="G29" s="148" t="s">
        <v>285</v>
      </c>
      <c r="H29" s="135">
        <v>1074</v>
      </c>
    </row>
    <row r="30" spans="1:8" hidden="1" x14ac:dyDescent="0.25">
      <c r="A30" s="186">
        <v>3</v>
      </c>
      <c r="B30" s="141" t="s">
        <v>247</v>
      </c>
      <c r="C30" s="139">
        <v>1324</v>
      </c>
      <c r="D30" s="140" t="s">
        <v>286</v>
      </c>
      <c r="E30" s="130">
        <v>10</v>
      </c>
      <c r="F30" s="131">
        <f t="shared" si="1"/>
        <v>10</v>
      </c>
      <c r="G30" s="135" t="s">
        <v>274</v>
      </c>
      <c r="H30" s="135"/>
    </row>
    <row r="31" spans="1:8" hidden="1" x14ac:dyDescent="0.25">
      <c r="A31" s="186">
        <v>3</v>
      </c>
      <c r="B31" s="141" t="s">
        <v>247</v>
      </c>
      <c r="C31" s="128">
        <v>1324</v>
      </c>
      <c r="D31" s="129" t="s">
        <v>287</v>
      </c>
      <c r="E31" s="130">
        <v>0</v>
      </c>
      <c r="F31" s="131">
        <f t="shared" si="1"/>
        <v>42</v>
      </c>
      <c r="G31" s="149" t="s">
        <v>251</v>
      </c>
      <c r="H31" s="135">
        <v>42</v>
      </c>
    </row>
    <row r="32" spans="1:8" hidden="1" x14ac:dyDescent="0.25">
      <c r="A32" s="186">
        <v>3</v>
      </c>
      <c r="B32" s="141" t="s">
        <v>247</v>
      </c>
      <c r="C32" s="128">
        <v>1324</v>
      </c>
      <c r="D32" s="129" t="s">
        <v>288</v>
      </c>
      <c r="E32" s="130">
        <v>10</v>
      </c>
      <c r="F32" s="131">
        <f t="shared" si="1"/>
        <v>120</v>
      </c>
      <c r="G32" s="149" t="s">
        <v>251</v>
      </c>
      <c r="H32" s="135">
        <v>110</v>
      </c>
    </row>
    <row r="33" spans="1:9" hidden="1" x14ac:dyDescent="0.25">
      <c r="A33" s="186">
        <v>2</v>
      </c>
      <c r="B33" s="141" t="s">
        <v>247</v>
      </c>
      <c r="C33" s="128">
        <v>1324</v>
      </c>
      <c r="D33" s="129" t="s">
        <v>289</v>
      </c>
      <c r="E33" s="130">
        <v>12</v>
      </c>
      <c r="F33" s="131">
        <f t="shared" si="1"/>
        <v>13</v>
      </c>
      <c r="G33" s="136"/>
      <c r="H33" s="132" t="s">
        <v>290</v>
      </c>
    </row>
    <row r="34" spans="1:9" hidden="1" x14ac:dyDescent="0.25">
      <c r="A34" s="186">
        <v>3</v>
      </c>
      <c r="B34" s="141" t="s">
        <v>247</v>
      </c>
      <c r="C34" s="128">
        <v>1324</v>
      </c>
      <c r="D34" s="129" t="s">
        <v>291</v>
      </c>
      <c r="E34" s="130">
        <v>7</v>
      </c>
      <c r="F34" s="131">
        <f t="shared" si="1"/>
        <v>7</v>
      </c>
      <c r="G34" s="136" t="s">
        <v>292</v>
      </c>
      <c r="H34" s="150">
        <v>0</v>
      </c>
    </row>
    <row r="35" spans="1:9" hidden="1" x14ac:dyDescent="0.25">
      <c r="A35" s="186">
        <v>3</v>
      </c>
      <c r="B35" s="141" t="s">
        <v>247</v>
      </c>
      <c r="C35" s="128">
        <v>1324</v>
      </c>
      <c r="D35" s="129" t="s">
        <v>291</v>
      </c>
      <c r="E35" s="130">
        <v>4</v>
      </c>
      <c r="F35" s="131">
        <f t="shared" si="1"/>
        <v>4</v>
      </c>
      <c r="G35" s="136" t="s">
        <v>265</v>
      </c>
      <c r="H35" s="150">
        <v>0</v>
      </c>
    </row>
    <row r="36" spans="1:9" hidden="1" x14ac:dyDescent="0.25">
      <c r="A36" s="186">
        <v>1</v>
      </c>
      <c r="B36" s="141" t="s">
        <v>247</v>
      </c>
      <c r="C36" s="128">
        <v>1324</v>
      </c>
      <c r="D36" s="129" t="s">
        <v>293</v>
      </c>
      <c r="E36" s="130">
        <v>0</v>
      </c>
      <c r="F36" s="131">
        <f t="shared" si="1"/>
        <v>1</v>
      </c>
      <c r="G36" s="151"/>
      <c r="H36" s="135">
        <v>1</v>
      </c>
    </row>
    <row r="37" spans="1:9" ht="30" hidden="1" x14ac:dyDescent="0.25">
      <c r="A37" s="186">
        <v>3</v>
      </c>
      <c r="B37" s="141" t="s">
        <v>247</v>
      </c>
      <c r="C37" s="128">
        <v>1324</v>
      </c>
      <c r="D37" s="129" t="s">
        <v>294</v>
      </c>
      <c r="E37" s="130">
        <v>0</v>
      </c>
      <c r="F37" s="131">
        <f t="shared" si="1"/>
        <v>0</v>
      </c>
      <c r="G37" s="151" t="s">
        <v>295</v>
      </c>
      <c r="H37" s="135"/>
      <c r="I37" s="232" t="s">
        <v>685</v>
      </c>
    </row>
    <row r="38" spans="1:9" hidden="1" x14ac:dyDescent="0.25">
      <c r="A38" s="186">
        <v>2</v>
      </c>
      <c r="B38" s="141" t="s">
        <v>247</v>
      </c>
      <c r="C38" s="128">
        <v>1324</v>
      </c>
      <c r="D38" s="129" t="s">
        <v>296</v>
      </c>
      <c r="E38" s="130">
        <v>0</v>
      </c>
      <c r="F38" s="131">
        <f t="shared" si="1"/>
        <v>3</v>
      </c>
      <c r="G38" s="146" t="s">
        <v>251</v>
      </c>
      <c r="H38" s="135">
        <v>3</v>
      </c>
    </row>
    <row r="39" spans="1:9" hidden="1" x14ac:dyDescent="0.25">
      <c r="A39" s="186">
        <v>1</v>
      </c>
      <c r="B39" s="141" t="s">
        <v>247</v>
      </c>
      <c r="C39" s="128">
        <v>1324</v>
      </c>
      <c r="D39" s="129" t="s">
        <v>297</v>
      </c>
      <c r="E39" s="130">
        <v>6</v>
      </c>
      <c r="F39" s="131">
        <f t="shared" si="1"/>
        <v>13</v>
      </c>
      <c r="G39" s="146" t="s">
        <v>251</v>
      </c>
      <c r="H39" s="135">
        <v>7</v>
      </c>
    </row>
    <row r="40" spans="1:9" hidden="1" x14ac:dyDescent="0.25">
      <c r="A40" s="186">
        <v>3</v>
      </c>
      <c r="B40" s="141" t="s">
        <v>247</v>
      </c>
      <c r="C40" s="128">
        <v>1324</v>
      </c>
      <c r="D40" s="129" t="s">
        <v>298</v>
      </c>
      <c r="E40" s="130">
        <v>7</v>
      </c>
      <c r="F40" s="131">
        <f t="shared" si="1"/>
        <v>7</v>
      </c>
      <c r="G40" s="146" t="s">
        <v>299</v>
      </c>
      <c r="H40" s="135">
        <v>0</v>
      </c>
    </row>
    <row r="41" spans="1:9" hidden="1" x14ac:dyDescent="0.25">
      <c r="A41" s="186">
        <v>2</v>
      </c>
      <c r="B41" s="141" t="s">
        <v>247</v>
      </c>
      <c r="C41" s="139">
        <v>1324</v>
      </c>
      <c r="D41" s="140" t="s">
        <v>300</v>
      </c>
      <c r="E41" s="130">
        <v>0</v>
      </c>
      <c r="F41" s="131">
        <f t="shared" si="1"/>
        <v>7</v>
      </c>
      <c r="G41" s="146" t="s">
        <v>251</v>
      </c>
      <c r="H41" s="135">
        <v>7</v>
      </c>
    </row>
    <row r="42" spans="1:9" hidden="1" x14ac:dyDescent="0.25">
      <c r="A42" s="186">
        <v>2</v>
      </c>
      <c r="B42" s="141" t="s">
        <v>247</v>
      </c>
      <c r="C42" s="128">
        <v>1324</v>
      </c>
      <c r="D42" s="129" t="s">
        <v>301</v>
      </c>
      <c r="E42" s="130">
        <v>3</v>
      </c>
      <c r="F42" s="131">
        <f t="shared" si="1"/>
        <v>3</v>
      </c>
      <c r="G42" s="146" t="s">
        <v>302</v>
      </c>
      <c r="H42" s="135">
        <v>0</v>
      </c>
    </row>
    <row r="43" spans="1:9" hidden="1" x14ac:dyDescent="0.25">
      <c r="A43" s="186">
        <v>1</v>
      </c>
      <c r="B43" s="141" t="s">
        <v>247</v>
      </c>
      <c r="C43" s="128">
        <v>1324</v>
      </c>
      <c r="D43" s="129" t="s">
        <v>303</v>
      </c>
      <c r="E43" s="130">
        <v>0</v>
      </c>
      <c r="F43" s="131">
        <f t="shared" si="1"/>
        <v>6</v>
      </c>
      <c r="G43" s="135" t="s">
        <v>251</v>
      </c>
      <c r="H43" s="135">
        <v>6</v>
      </c>
    </row>
    <row r="44" spans="1:9" hidden="1" x14ac:dyDescent="0.25">
      <c r="A44" s="186">
        <v>1</v>
      </c>
      <c r="B44" s="141" t="s">
        <v>247</v>
      </c>
      <c r="C44" s="128">
        <v>1324</v>
      </c>
      <c r="D44" s="129" t="s">
        <v>304</v>
      </c>
      <c r="E44" s="130">
        <v>36</v>
      </c>
      <c r="F44" s="131">
        <f t="shared" si="1"/>
        <v>44</v>
      </c>
      <c r="G44" s="138" t="s">
        <v>305</v>
      </c>
      <c r="H44" s="135">
        <v>8</v>
      </c>
    </row>
    <row r="45" spans="1:9" hidden="1" x14ac:dyDescent="0.25">
      <c r="A45" s="186">
        <v>1</v>
      </c>
      <c r="B45" s="141" t="s">
        <v>247</v>
      </c>
      <c r="C45" s="128">
        <v>1324</v>
      </c>
      <c r="D45" s="129" t="s">
        <v>306</v>
      </c>
      <c r="E45" s="130">
        <v>4</v>
      </c>
      <c r="F45" s="131">
        <f t="shared" si="1"/>
        <v>4</v>
      </c>
      <c r="G45" s="146" t="s">
        <v>251</v>
      </c>
      <c r="H45" s="135">
        <v>0</v>
      </c>
    </row>
    <row r="46" spans="1:9" hidden="1" x14ac:dyDescent="0.25">
      <c r="A46" s="186">
        <v>2</v>
      </c>
      <c r="B46" s="141" t="s">
        <v>307</v>
      </c>
      <c r="C46" s="128">
        <v>6146</v>
      </c>
      <c r="D46" s="129" t="s">
        <v>308</v>
      </c>
      <c r="E46" s="130">
        <v>5</v>
      </c>
      <c r="F46" s="131">
        <f t="shared" si="1"/>
        <v>5</v>
      </c>
      <c r="G46" s="146" t="s">
        <v>360</v>
      </c>
      <c r="H46" s="135">
        <v>0</v>
      </c>
    </row>
    <row r="47" spans="1:9" hidden="1" x14ac:dyDescent="0.25">
      <c r="A47" s="186">
        <v>2</v>
      </c>
      <c r="B47" s="141" t="s">
        <v>307</v>
      </c>
      <c r="C47" s="139">
        <v>6145</v>
      </c>
      <c r="D47" s="140" t="s">
        <v>309</v>
      </c>
      <c r="E47" s="130">
        <v>5</v>
      </c>
      <c r="F47" s="131">
        <f t="shared" si="1"/>
        <v>8</v>
      </c>
      <c r="G47" s="146" t="s">
        <v>251</v>
      </c>
      <c r="H47" s="152">
        <v>3</v>
      </c>
    </row>
    <row r="48" spans="1:9" hidden="1" x14ac:dyDescent="0.25">
      <c r="A48" s="186">
        <v>3</v>
      </c>
      <c r="B48" s="141" t="s">
        <v>247</v>
      </c>
      <c r="C48" s="139">
        <v>1324</v>
      </c>
      <c r="D48" s="140" t="s">
        <v>310</v>
      </c>
      <c r="E48" s="130">
        <v>1</v>
      </c>
      <c r="F48" s="131">
        <f t="shared" si="1"/>
        <v>1</v>
      </c>
      <c r="G48" s="146" t="s">
        <v>256</v>
      </c>
      <c r="H48" s="152">
        <v>0</v>
      </c>
    </row>
    <row r="49" spans="1:9" hidden="1" x14ac:dyDescent="0.25">
      <c r="A49" s="186">
        <v>3</v>
      </c>
      <c r="B49" s="184" t="s">
        <v>247</v>
      </c>
      <c r="C49" s="185">
        <v>1324</v>
      </c>
      <c r="D49" s="140" t="s">
        <v>311</v>
      </c>
      <c r="E49" s="153">
        <v>0</v>
      </c>
      <c r="F49" s="154">
        <f t="shared" si="1"/>
        <v>2</v>
      </c>
      <c r="G49" s="146" t="s">
        <v>285</v>
      </c>
      <c r="H49" s="135">
        <v>2</v>
      </c>
    </row>
    <row r="50" spans="1:9" x14ac:dyDescent="0.25">
      <c r="A50" s="126" t="s">
        <v>312</v>
      </c>
      <c r="B50" s="182" t="s">
        <v>247</v>
      </c>
      <c r="C50" s="183">
        <v>1324</v>
      </c>
      <c r="D50" s="156" t="s">
        <v>313</v>
      </c>
      <c r="E50" s="153">
        <v>18</v>
      </c>
      <c r="F50" s="154">
        <f t="shared" si="1"/>
        <v>20</v>
      </c>
      <c r="G50" s="146" t="s">
        <v>314</v>
      </c>
      <c r="H50" s="135">
        <v>2</v>
      </c>
    </row>
    <row r="51" spans="1:9" hidden="1" x14ac:dyDescent="0.25">
      <c r="A51" s="126" t="s">
        <v>312</v>
      </c>
      <c r="B51" s="137" t="s">
        <v>247</v>
      </c>
      <c r="C51" s="155">
        <v>1324</v>
      </c>
      <c r="D51" s="156" t="s">
        <v>315</v>
      </c>
      <c r="E51" s="153">
        <v>20</v>
      </c>
      <c r="F51" s="154">
        <f t="shared" si="1"/>
        <v>20</v>
      </c>
      <c r="G51" s="146" t="s">
        <v>314</v>
      </c>
      <c r="H51" s="135"/>
    </row>
    <row r="52" spans="1:9" hidden="1" x14ac:dyDescent="0.25">
      <c r="A52" s="126" t="s">
        <v>312</v>
      </c>
      <c r="B52" s="137" t="s">
        <v>247</v>
      </c>
      <c r="C52" s="155">
        <v>1324</v>
      </c>
      <c r="D52" s="157" t="s">
        <v>250</v>
      </c>
      <c r="E52" s="153">
        <v>6</v>
      </c>
      <c r="F52" s="154">
        <f t="shared" si="1"/>
        <v>6</v>
      </c>
      <c r="G52" s="146" t="s">
        <v>314</v>
      </c>
      <c r="H52" s="135"/>
    </row>
    <row r="53" spans="1:9" hidden="1" x14ac:dyDescent="0.25">
      <c r="A53" s="126" t="s">
        <v>312</v>
      </c>
      <c r="B53" s="137" t="s">
        <v>247</v>
      </c>
      <c r="C53" s="155">
        <v>1324</v>
      </c>
      <c r="D53" s="157" t="s">
        <v>284</v>
      </c>
      <c r="E53" s="153">
        <v>7</v>
      </c>
      <c r="F53" s="154">
        <f t="shared" si="1"/>
        <v>7</v>
      </c>
      <c r="G53" s="146" t="s">
        <v>316</v>
      </c>
      <c r="H53" s="135"/>
    </row>
    <row r="54" spans="1:9" hidden="1" x14ac:dyDescent="0.25">
      <c r="A54" s="126" t="s">
        <v>312</v>
      </c>
      <c r="B54" s="137" t="s">
        <v>247</v>
      </c>
      <c r="C54" s="155">
        <v>1324</v>
      </c>
      <c r="D54" s="158" t="s">
        <v>317</v>
      </c>
      <c r="E54" s="153">
        <v>16</v>
      </c>
      <c r="F54" s="154">
        <f t="shared" si="1"/>
        <v>23</v>
      </c>
      <c r="G54" s="146" t="s">
        <v>314</v>
      </c>
      <c r="H54" s="135">
        <v>7</v>
      </c>
    </row>
    <row r="55" spans="1:9" hidden="1" x14ac:dyDescent="0.25">
      <c r="A55" s="126" t="s">
        <v>312</v>
      </c>
      <c r="B55" s="137" t="s">
        <v>247</v>
      </c>
      <c r="C55" s="155">
        <v>1324</v>
      </c>
      <c r="D55" s="157" t="s">
        <v>271</v>
      </c>
      <c r="E55" s="153">
        <v>15</v>
      </c>
      <c r="F55" s="154">
        <f t="shared" si="1"/>
        <v>15</v>
      </c>
      <c r="G55" s="146" t="s">
        <v>314</v>
      </c>
      <c r="H55" s="135"/>
      <c r="I55" t="s">
        <v>684</v>
      </c>
    </row>
    <row r="56" spans="1:9" hidden="1" x14ac:dyDescent="0.25">
      <c r="A56" s="126" t="s">
        <v>312</v>
      </c>
      <c r="B56" s="137" t="s">
        <v>247</v>
      </c>
      <c r="C56" s="155">
        <v>1324</v>
      </c>
      <c r="D56" s="158" t="s">
        <v>318</v>
      </c>
      <c r="E56" s="153">
        <v>10</v>
      </c>
      <c r="F56" s="154">
        <f t="shared" si="1"/>
        <v>10</v>
      </c>
      <c r="G56" s="146" t="s">
        <v>319</v>
      </c>
      <c r="H56" s="135"/>
    </row>
    <row r="57" spans="1:9" hidden="1" x14ac:dyDescent="0.25">
      <c r="A57" s="126" t="s">
        <v>312</v>
      </c>
      <c r="B57" s="137" t="s">
        <v>247</v>
      </c>
      <c r="C57" s="155">
        <v>1324</v>
      </c>
      <c r="D57" s="157" t="s">
        <v>320</v>
      </c>
      <c r="E57" s="153">
        <v>18</v>
      </c>
      <c r="F57" s="154">
        <f t="shared" si="1"/>
        <v>18</v>
      </c>
      <c r="G57" s="146" t="s">
        <v>314</v>
      </c>
      <c r="H57" s="135"/>
    </row>
    <row r="58" spans="1:9" hidden="1" x14ac:dyDescent="0.25">
      <c r="A58" s="126" t="s">
        <v>312</v>
      </c>
      <c r="B58" s="137" t="s">
        <v>247</v>
      </c>
      <c r="C58" s="155">
        <v>1324</v>
      </c>
      <c r="D58" s="157" t="s">
        <v>288</v>
      </c>
      <c r="E58" s="153">
        <v>20</v>
      </c>
      <c r="F58" s="154">
        <f t="shared" si="1"/>
        <v>20</v>
      </c>
      <c r="G58" s="146"/>
      <c r="H58" s="135"/>
    </row>
    <row r="59" spans="1:9" hidden="1" x14ac:dyDescent="0.25">
      <c r="A59" s="126" t="s">
        <v>312</v>
      </c>
      <c r="B59" s="137" t="s">
        <v>247</v>
      </c>
      <c r="C59" s="155">
        <v>1324</v>
      </c>
      <c r="D59" s="157" t="s">
        <v>287</v>
      </c>
      <c r="E59" s="153">
        <v>10</v>
      </c>
      <c r="F59" s="154">
        <f t="shared" si="1"/>
        <v>10</v>
      </c>
      <c r="G59" s="146" t="s">
        <v>292</v>
      </c>
      <c r="H59" s="135"/>
    </row>
    <row r="60" spans="1:9" hidden="1" x14ac:dyDescent="0.25">
      <c r="A60" s="126" t="s">
        <v>312</v>
      </c>
      <c r="B60" s="137" t="s">
        <v>247</v>
      </c>
      <c r="C60" s="155">
        <v>1324</v>
      </c>
      <c r="D60" s="157" t="s">
        <v>321</v>
      </c>
      <c r="E60" s="153">
        <v>18</v>
      </c>
      <c r="F60" s="154">
        <f t="shared" si="1"/>
        <v>18</v>
      </c>
      <c r="G60" s="146" t="s">
        <v>319</v>
      </c>
      <c r="H60" s="135"/>
    </row>
    <row r="61" spans="1:9" hidden="1" x14ac:dyDescent="0.25">
      <c r="A61" s="126" t="s">
        <v>312</v>
      </c>
      <c r="B61" s="137" t="s">
        <v>247</v>
      </c>
      <c r="C61" s="155">
        <v>1324</v>
      </c>
      <c r="D61" s="157" t="s">
        <v>322</v>
      </c>
      <c r="E61" s="153">
        <v>18</v>
      </c>
      <c r="F61" s="154">
        <f t="shared" si="1"/>
        <v>18</v>
      </c>
      <c r="G61" s="146" t="s">
        <v>323</v>
      </c>
      <c r="H61" s="135"/>
    </row>
    <row r="62" spans="1:9" hidden="1" x14ac:dyDescent="0.25">
      <c r="A62" s="126" t="s">
        <v>312</v>
      </c>
      <c r="B62" s="137" t="s">
        <v>247</v>
      </c>
      <c r="C62" s="155">
        <v>1324</v>
      </c>
      <c r="D62" s="157" t="s">
        <v>324</v>
      </c>
      <c r="E62" s="153">
        <v>20</v>
      </c>
      <c r="F62" s="154">
        <f t="shared" si="1"/>
        <v>20</v>
      </c>
      <c r="G62" s="146" t="s">
        <v>314</v>
      </c>
      <c r="H62" s="135"/>
    </row>
    <row r="63" spans="1:9" ht="75" hidden="1" x14ac:dyDescent="0.25">
      <c r="A63" s="126" t="s">
        <v>312</v>
      </c>
      <c r="B63" s="137" t="s">
        <v>247</v>
      </c>
      <c r="C63" s="155">
        <v>1324</v>
      </c>
      <c r="D63" s="157" t="s">
        <v>325</v>
      </c>
      <c r="E63" s="153">
        <v>9</v>
      </c>
      <c r="F63" s="154">
        <f t="shared" si="1"/>
        <v>9</v>
      </c>
      <c r="G63" s="146" t="s">
        <v>319</v>
      </c>
      <c r="H63" s="135"/>
      <c r="I63" s="232" t="s">
        <v>686</v>
      </c>
    </row>
    <row r="64" spans="1:9" hidden="1" x14ac:dyDescent="0.25">
      <c r="A64" s="126" t="s">
        <v>312</v>
      </c>
      <c r="B64" s="137" t="s">
        <v>247</v>
      </c>
      <c r="C64" s="155">
        <v>1324</v>
      </c>
      <c r="D64" s="157" t="s">
        <v>273</v>
      </c>
      <c r="E64" s="153">
        <v>21</v>
      </c>
      <c r="F64" s="154">
        <f t="shared" si="1"/>
        <v>21</v>
      </c>
      <c r="G64" s="146" t="s">
        <v>314</v>
      </c>
      <c r="H64" s="135"/>
    </row>
    <row r="65" spans="1:8" hidden="1" x14ac:dyDescent="0.25">
      <c r="A65" s="273" t="s">
        <v>326</v>
      </c>
      <c r="B65" s="274"/>
      <c r="C65" s="274"/>
      <c r="D65" s="274"/>
      <c r="E65" s="274"/>
      <c r="F65" s="274"/>
      <c r="G65" s="274"/>
      <c r="H65" s="275"/>
    </row>
    <row r="66" spans="1:8" s="159" customFormat="1" hidden="1" x14ac:dyDescent="0.25">
      <c r="A66" s="144"/>
      <c r="B66" s="160" t="s">
        <v>247</v>
      </c>
      <c r="C66" s="161">
        <v>1432</v>
      </c>
      <c r="D66" s="162" t="s">
        <v>327</v>
      </c>
      <c r="E66" s="130">
        <v>99</v>
      </c>
      <c r="F66" s="163"/>
      <c r="G66" s="164" t="s">
        <v>328</v>
      </c>
      <c r="H66" s="144"/>
    </row>
    <row r="67" spans="1:8" s="159" customFormat="1" hidden="1" x14ac:dyDescent="0.25">
      <c r="A67" s="144"/>
      <c r="B67" s="127" t="s">
        <v>247</v>
      </c>
      <c r="C67" s="165">
        <v>1432</v>
      </c>
      <c r="D67" s="166" t="s">
        <v>329</v>
      </c>
      <c r="E67" s="153">
        <v>26</v>
      </c>
      <c r="F67" s="167"/>
      <c r="G67" s="168" t="s">
        <v>330</v>
      </c>
      <c r="H67" s="144" t="s">
        <v>331</v>
      </c>
    </row>
    <row r="68" spans="1:8" s="159" customFormat="1" hidden="1" x14ac:dyDescent="0.25">
      <c r="A68" s="144"/>
      <c r="B68" s="127" t="s">
        <v>247</v>
      </c>
      <c r="C68" s="165">
        <v>1432</v>
      </c>
      <c r="D68" s="166" t="s">
        <v>332</v>
      </c>
      <c r="E68" s="153">
        <v>62</v>
      </c>
      <c r="F68" s="167"/>
      <c r="G68" s="168" t="s">
        <v>333</v>
      </c>
      <c r="H68" s="144" t="s">
        <v>331</v>
      </c>
    </row>
    <row r="69" spans="1:8" s="159" customFormat="1" hidden="1" x14ac:dyDescent="0.25">
      <c r="A69" s="144"/>
      <c r="B69" s="127" t="s">
        <v>247</v>
      </c>
      <c r="C69" s="165">
        <v>1432</v>
      </c>
      <c r="D69" s="166" t="s">
        <v>334</v>
      </c>
      <c r="E69" s="153">
        <v>2</v>
      </c>
      <c r="F69" s="167"/>
      <c r="G69" s="168" t="s">
        <v>335</v>
      </c>
      <c r="H69" s="144"/>
    </row>
    <row r="70" spans="1:8" s="159" customFormat="1" hidden="1" x14ac:dyDescent="0.25">
      <c r="A70" s="144"/>
      <c r="B70" s="127" t="s">
        <v>247</v>
      </c>
      <c r="C70" s="165">
        <v>1432</v>
      </c>
      <c r="D70" s="166" t="s">
        <v>336</v>
      </c>
      <c r="E70" s="153">
        <v>29</v>
      </c>
      <c r="F70" s="167"/>
      <c r="G70" s="168" t="s">
        <v>333</v>
      </c>
      <c r="H70" s="144" t="s">
        <v>337</v>
      </c>
    </row>
    <row r="71" spans="1:8" s="159" customFormat="1" hidden="1" x14ac:dyDescent="0.25">
      <c r="A71" s="144"/>
      <c r="B71" s="127" t="s">
        <v>247</v>
      </c>
      <c r="C71" s="165">
        <v>1312</v>
      </c>
      <c r="D71" s="166" t="s">
        <v>338</v>
      </c>
      <c r="E71" s="153">
        <v>30</v>
      </c>
      <c r="F71" s="167"/>
      <c r="G71" s="168" t="s">
        <v>335</v>
      </c>
      <c r="H71" s="144"/>
    </row>
    <row r="72" spans="1:8" s="159" customFormat="1" hidden="1" x14ac:dyDescent="0.25">
      <c r="A72" s="144"/>
      <c r="B72" s="127" t="s">
        <v>247</v>
      </c>
      <c r="C72" s="165">
        <v>1481</v>
      </c>
      <c r="D72" s="166" t="s">
        <v>339</v>
      </c>
      <c r="E72" s="153">
        <v>13</v>
      </c>
      <c r="F72" s="167"/>
      <c r="G72" s="168" t="s">
        <v>335</v>
      </c>
      <c r="H72" s="144"/>
    </row>
    <row r="73" spans="1:8" s="159" customFormat="1" hidden="1" x14ac:dyDescent="0.25">
      <c r="A73" s="144"/>
      <c r="B73" s="127" t="s">
        <v>247</v>
      </c>
      <c r="C73" s="165">
        <v>1432</v>
      </c>
      <c r="D73" s="166" t="s">
        <v>340</v>
      </c>
      <c r="E73" s="153">
        <v>1</v>
      </c>
      <c r="F73" s="167"/>
      <c r="G73" s="168" t="s">
        <v>341</v>
      </c>
      <c r="H73" s="144"/>
    </row>
    <row r="74" spans="1:8" s="159" customFormat="1" hidden="1" x14ac:dyDescent="0.25">
      <c r="A74" s="144"/>
      <c r="B74" s="127" t="s">
        <v>247</v>
      </c>
      <c r="C74" s="165">
        <v>1432</v>
      </c>
      <c r="D74" s="166" t="s">
        <v>340</v>
      </c>
      <c r="E74" s="153">
        <v>26</v>
      </c>
      <c r="F74" s="167"/>
      <c r="G74" s="168" t="s">
        <v>342</v>
      </c>
      <c r="H74" s="144"/>
    </row>
    <row r="75" spans="1:8" s="159" customFormat="1" hidden="1" x14ac:dyDescent="0.25">
      <c r="A75" s="144"/>
      <c r="B75" s="127" t="s">
        <v>247</v>
      </c>
      <c r="C75" s="165">
        <v>1313</v>
      </c>
      <c r="D75" s="166" t="s">
        <v>343</v>
      </c>
      <c r="E75" s="153">
        <v>5</v>
      </c>
      <c r="F75" s="167"/>
      <c r="G75" s="168" t="s">
        <v>344</v>
      </c>
      <c r="H75" s="144"/>
    </row>
    <row r="76" spans="1:8" s="159" customFormat="1" hidden="1" x14ac:dyDescent="0.25">
      <c r="A76" s="144"/>
      <c r="B76" s="127" t="s">
        <v>247</v>
      </c>
      <c r="C76" s="165">
        <v>1313</v>
      </c>
      <c r="D76" s="166" t="s">
        <v>343</v>
      </c>
      <c r="E76" s="153">
        <v>5</v>
      </c>
      <c r="F76" s="167"/>
      <c r="G76" s="168" t="s">
        <v>345</v>
      </c>
      <c r="H76" s="144"/>
    </row>
    <row r="77" spans="1:8" s="159" customFormat="1" hidden="1" x14ac:dyDescent="0.25">
      <c r="A77" s="144"/>
      <c r="B77" s="127" t="s">
        <v>247</v>
      </c>
      <c r="C77" s="165">
        <v>1432</v>
      </c>
      <c r="D77" s="166" t="s">
        <v>340</v>
      </c>
      <c r="E77" s="153">
        <v>1</v>
      </c>
      <c r="F77" s="167"/>
      <c r="G77" s="168" t="s">
        <v>346</v>
      </c>
      <c r="H77" s="144"/>
    </row>
    <row r="78" spans="1:8" s="159" customFormat="1" hidden="1" x14ac:dyDescent="0.25">
      <c r="A78" s="144"/>
      <c r="B78" s="127" t="s">
        <v>247</v>
      </c>
      <c r="C78" s="165">
        <v>1432</v>
      </c>
      <c r="D78" s="166" t="s">
        <v>347</v>
      </c>
      <c r="E78" s="153">
        <v>2</v>
      </c>
      <c r="F78" s="167"/>
      <c r="G78" s="168" t="s">
        <v>348</v>
      </c>
      <c r="H78" s="144"/>
    </row>
    <row r="79" spans="1:8" s="159" customFormat="1" hidden="1" x14ac:dyDescent="0.25">
      <c r="A79" s="200"/>
      <c r="B79" s="127" t="s">
        <v>247</v>
      </c>
      <c r="C79" s="165">
        <v>1432</v>
      </c>
      <c r="D79" s="166" t="s">
        <v>349</v>
      </c>
      <c r="E79" s="153">
        <v>10</v>
      </c>
      <c r="F79" s="167"/>
      <c r="G79" s="168" t="s">
        <v>350</v>
      </c>
      <c r="H79" s="144"/>
    </row>
    <row r="80" spans="1:8" x14ac:dyDescent="0.25">
      <c r="A80" s="201"/>
      <c r="B80" s="196"/>
      <c r="C80" s="195"/>
      <c r="D80" s="196"/>
      <c r="E80" s="197"/>
      <c r="F80" s="198"/>
      <c r="G80" s="199"/>
      <c r="H80" s="199"/>
    </row>
    <row r="83" spans="4:4" x14ac:dyDescent="0.25">
      <c r="D83" t="s">
        <v>351</v>
      </c>
    </row>
  </sheetData>
  <sheetProtection algorithmName="SHA-512" hashValue="W2WdxrTdIr54PYWboyKrtz+wYME7N6+KfRRjgXQifmipDiI+zXchoGAgB2MXbXQTq8C1xTG1/+D8kiz+fUE0cw==" saltValue="bcG+5M+ithKly5WG48imSw==" spinCount="100000" sheet="1" autoFilter="0"/>
  <autoFilter ref="A1:H79" xr:uid="{00000000-0009-0000-0000-000002000000}">
    <filterColumn colId="3">
      <filters>
        <filter val="К1324УУ1У"/>
      </filters>
    </filterColumn>
  </autoFilter>
  <mergeCells count="2">
    <mergeCell ref="A2:H2"/>
    <mergeCell ref="A65:H65"/>
  </mergeCells>
  <printOptions gridLines="1"/>
  <pageMargins left="0.7" right="0.7" top="0.75" bottom="0.75" header="0.51181102362204689" footer="0.51181102362204689"/>
  <pageSetup paperSize="9" scale="87" fitToHeight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F2761-E5A6-4FB0-B769-9BF204019EA9}">
  <sheetPr>
    <tabColor rgb="FFFF0000"/>
  </sheetPr>
  <dimension ref="A1:N13"/>
  <sheetViews>
    <sheetView workbookViewId="0">
      <selection activeCell="C35" sqref="C35"/>
    </sheetView>
  </sheetViews>
  <sheetFormatPr defaultColWidth="9.140625" defaultRowHeight="15" x14ac:dyDescent="0.25"/>
  <cols>
    <col min="1" max="1" width="15.42578125" customWidth="1"/>
    <col min="2" max="2" width="30.42578125" customWidth="1"/>
    <col min="3" max="3" width="41.42578125" customWidth="1"/>
    <col min="4" max="4" width="20.85546875" customWidth="1"/>
    <col min="5" max="5" width="13.42578125" customWidth="1"/>
    <col min="6" max="6" width="11.85546875" customWidth="1"/>
    <col min="7" max="7" width="10.42578125" customWidth="1"/>
    <col min="8" max="8" width="16.85546875" customWidth="1"/>
    <col min="9" max="9" width="18" bestFit="1" customWidth="1"/>
    <col min="10" max="10" width="15.42578125" customWidth="1"/>
    <col min="11" max="11" width="12.42578125" customWidth="1"/>
    <col min="12" max="12" width="17" customWidth="1"/>
    <col min="13" max="13" width="25.42578125" customWidth="1"/>
    <col min="14" max="14" width="67.5703125" customWidth="1"/>
  </cols>
  <sheetData>
    <row r="1" spans="1:14" s="1" customFormat="1" x14ac:dyDescent="0.25">
      <c r="A1" s="249" t="s">
        <v>32</v>
      </c>
      <c r="B1" s="16" t="s">
        <v>33</v>
      </c>
      <c r="C1" s="15" t="s">
        <v>34</v>
      </c>
      <c r="D1" s="245" t="s">
        <v>16</v>
      </c>
      <c r="E1" s="17">
        <v>45076</v>
      </c>
      <c r="F1" s="15">
        <v>200</v>
      </c>
      <c r="G1" s="9"/>
      <c r="H1" s="9"/>
      <c r="I1" s="9">
        <f>F1-K233-K307-K450-K420-K475</f>
        <v>200</v>
      </c>
      <c r="J1" s="13"/>
      <c r="K1" s="9"/>
      <c r="L1" s="9"/>
      <c r="M1" s="18"/>
      <c r="N1" s="12"/>
    </row>
    <row r="2" spans="1:14" s="1" customFormat="1" x14ac:dyDescent="0.25">
      <c r="A2" s="249" t="s">
        <v>35</v>
      </c>
      <c r="B2" s="16" t="s">
        <v>33</v>
      </c>
      <c r="C2" s="9" t="s">
        <v>34</v>
      </c>
      <c r="D2" s="246"/>
      <c r="E2" s="13">
        <v>45076</v>
      </c>
      <c r="F2" s="9">
        <v>253</v>
      </c>
      <c r="G2" s="9"/>
      <c r="H2" s="9"/>
      <c r="I2" s="9">
        <f>F2-K182-K189-K195-K232</f>
        <v>253</v>
      </c>
      <c r="J2" s="13"/>
      <c r="K2" s="9"/>
      <c r="L2" s="9"/>
      <c r="M2" s="18"/>
      <c r="N2" s="12"/>
    </row>
    <row r="3" spans="1:14" s="1" customFormat="1" x14ac:dyDescent="0.25">
      <c r="A3" s="249" t="s">
        <v>35</v>
      </c>
      <c r="B3" s="16" t="s">
        <v>33</v>
      </c>
      <c r="C3" s="9" t="s">
        <v>36</v>
      </c>
      <c r="D3" s="247"/>
      <c r="E3" s="13">
        <v>45076</v>
      </c>
      <c r="F3" s="9">
        <v>298</v>
      </c>
      <c r="G3" s="9"/>
      <c r="H3" s="9"/>
      <c r="I3" s="9">
        <f>F3-K208-K344</f>
        <v>298</v>
      </c>
      <c r="J3" s="13"/>
      <c r="K3" s="9"/>
      <c r="L3" s="9"/>
      <c r="M3" s="18"/>
      <c r="N3" s="12"/>
    </row>
    <row r="4" spans="1:14" s="1" customFormat="1" x14ac:dyDescent="0.25">
      <c r="A4" s="249">
        <v>59</v>
      </c>
      <c r="B4" s="12" t="s">
        <v>37</v>
      </c>
      <c r="C4" s="18" t="s">
        <v>38</v>
      </c>
      <c r="D4" s="248" t="s">
        <v>16</v>
      </c>
      <c r="E4" s="20">
        <v>45076</v>
      </c>
      <c r="F4" s="9">
        <v>601</v>
      </c>
      <c r="G4" s="9"/>
      <c r="H4" s="9"/>
      <c r="I4" s="9">
        <f>F4-K183-K184-K231-K260</f>
        <v>601</v>
      </c>
      <c r="J4" s="13"/>
      <c r="K4" s="9"/>
      <c r="L4" s="9"/>
      <c r="M4" s="18"/>
      <c r="N4" s="12"/>
    </row>
    <row r="5" spans="1:14" s="1" customFormat="1" x14ac:dyDescent="0.25">
      <c r="A5" s="249" t="s">
        <v>39</v>
      </c>
      <c r="B5" s="12" t="s">
        <v>37</v>
      </c>
      <c r="C5" s="18" t="s">
        <v>38</v>
      </c>
      <c r="D5" s="248" t="s">
        <v>16</v>
      </c>
      <c r="E5" s="20">
        <v>45076</v>
      </c>
      <c r="F5" s="9">
        <v>18</v>
      </c>
      <c r="G5" s="9"/>
      <c r="H5" s="9"/>
      <c r="I5" s="9">
        <f>F5-K185</f>
        <v>18</v>
      </c>
      <c r="J5" s="13"/>
      <c r="K5" s="9"/>
      <c r="L5" s="9"/>
      <c r="M5" s="18"/>
      <c r="N5" s="12"/>
    </row>
    <row r="6" spans="1:14" s="1" customFormat="1" x14ac:dyDescent="0.25">
      <c r="A6" s="249" t="s">
        <v>40</v>
      </c>
      <c r="B6" s="12" t="s">
        <v>37</v>
      </c>
      <c r="C6" s="18" t="s">
        <v>38</v>
      </c>
      <c r="D6" s="248" t="s">
        <v>16</v>
      </c>
      <c r="E6" s="20">
        <v>45076</v>
      </c>
      <c r="F6" s="9">
        <v>182</v>
      </c>
      <c r="G6" s="9"/>
      <c r="H6" s="9"/>
      <c r="I6" s="9">
        <f>F6-K187-K194-K261</f>
        <v>182</v>
      </c>
      <c r="J6" s="13"/>
      <c r="K6" s="9"/>
      <c r="L6" s="9"/>
      <c r="M6" s="18"/>
      <c r="N6" s="12"/>
    </row>
    <row r="7" spans="1:14" s="1" customFormat="1" x14ac:dyDescent="0.25">
      <c r="A7" s="249" t="s">
        <v>35</v>
      </c>
      <c r="B7" s="12" t="s">
        <v>37</v>
      </c>
      <c r="C7" s="9" t="s">
        <v>38</v>
      </c>
      <c r="D7" s="246"/>
      <c r="E7" s="13">
        <v>45076</v>
      </c>
      <c r="F7" s="9">
        <v>336</v>
      </c>
      <c r="G7" s="9"/>
      <c r="H7" s="9"/>
      <c r="I7" s="9">
        <f>F7-K186-K262-K311</f>
        <v>336</v>
      </c>
      <c r="J7" s="13"/>
      <c r="K7" s="9"/>
      <c r="L7" s="9"/>
      <c r="M7" s="18"/>
      <c r="N7" s="12"/>
    </row>
    <row r="8" spans="1:14" s="1" customFormat="1" x14ac:dyDescent="0.25">
      <c r="A8" s="249">
        <v>89</v>
      </c>
      <c r="B8" s="12" t="s">
        <v>37</v>
      </c>
      <c r="C8" s="18" t="s">
        <v>79</v>
      </c>
      <c r="D8" s="248" t="s">
        <v>16</v>
      </c>
      <c r="E8" s="25">
        <v>45112</v>
      </c>
      <c r="F8" s="22">
        <v>52</v>
      </c>
      <c r="G8" s="22"/>
      <c r="H8" s="22"/>
      <c r="I8" s="9">
        <f>F8-K397-K427</f>
        <v>52</v>
      </c>
      <c r="J8" s="22"/>
      <c r="K8" s="22"/>
      <c r="L8" s="22"/>
      <c r="M8" s="22"/>
      <c r="N8" s="29"/>
    </row>
    <row r="9" spans="1:14" s="1" customFormat="1" x14ac:dyDescent="0.25">
      <c r="A9" s="249">
        <v>90</v>
      </c>
      <c r="B9" s="12" t="s">
        <v>37</v>
      </c>
      <c r="C9" s="18" t="s">
        <v>79</v>
      </c>
      <c r="D9" s="248" t="s">
        <v>16</v>
      </c>
      <c r="E9" s="25">
        <v>45112</v>
      </c>
      <c r="F9" s="22">
        <v>78</v>
      </c>
      <c r="G9" s="22"/>
      <c r="H9" s="22">
        <v>2</v>
      </c>
      <c r="I9" s="9">
        <f>F9-K197-K324</f>
        <v>78</v>
      </c>
      <c r="J9" s="22"/>
      <c r="K9" s="22"/>
      <c r="L9" s="22"/>
      <c r="M9" s="22"/>
      <c r="N9" s="29"/>
    </row>
    <row r="10" spans="1:14" s="1" customFormat="1" x14ac:dyDescent="0.25">
      <c r="A10" s="249">
        <v>54</v>
      </c>
      <c r="B10" s="12" t="s">
        <v>84</v>
      </c>
      <c r="C10" s="18" t="s">
        <v>85</v>
      </c>
      <c r="D10" s="248" t="s">
        <v>16</v>
      </c>
      <c r="E10" s="25">
        <v>45112</v>
      </c>
      <c r="F10" s="22">
        <v>70</v>
      </c>
      <c r="G10" s="22"/>
      <c r="H10" s="22">
        <v>22</v>
      </c>
      <c r="I10" s="9">
        <f>F10-K197-K213-K319-K395</f>
        <v>70</v>
      </c>
      <c r="J10" s="22"/>
      <c r="K10" s="22"/>
      <c r="L10" s="22"/>
      <c r="M10" s="22"/>
      <c r="N10" s="29"/>
    </row>
    <row r="11" spans="1:14" s="1" customFormat="1" x14ac:dyDescent="0.25">
      <c r="A11" s="250">
        <v>58</v>
      </c>
      <c r="B11" s="16" t="s">
        <v>33</v>
      </c>
      <c r="C11" s="18" t="s">
        <v>34</v>
      </c>
      <c r="D11" s="248" t="s">
        <v>16</v>
      </c>
      <c r="E11" s="20">
        <v>45237</v>
      </c>
      <c r="F11" s="9">
        <v>161</v>
      </c>
      <c r="G11" s="9"/>
      <c r="H11" s="31"/>
      <c r="I11" s="9">
        <f>F11</f>
        <v>161</v>
      </c>
      <c r="J11" s="31"/>
      <c r="K11" s="31"/>
      <c r="L11" s="9"/>
      <c r="M11" s="9"/>
      <c r="N11" s="12"/>
    </row>
    <row r="12" spans="1:14" s="1" customFormat="1" x14ac:dyDescent="0.25">
      <c r="A12" s="251">
        <v>193</v>
      </c>
      <c r="B12" s="52" t="s">
        <v>37</v>
      </c>
      <c r="C12" s="53" t="s">
        <v>174</v>
      </c>
      <c r="D12" s="246" t="s">
        <v>16</v>
      </c>
      <c r="E12" s="51">
        <v>45469</v>
      </c>
      <c r="F12" s="26">
        <v>108</v>
      </c>
      <c r="G12" s="49"/>
      <c r="H12" s="49"/>
      <c r="I12" s="19">
        <f t="shared" ref="I12:I13" si="0">F12</f>
        <v>108</v>
      </c>
      <c r="J12" s="49"/>
      <c r="K12" s="49"/>
      <c r="L12" s="26"/>
      <c r="M12" s="26"/>
      <c r="N12" s="39"/>
    </row>
    <row r="13" spans="1:14" s="1" customFormat="1" x14ac:dyDescent="0.25">
      <c r="A13" s="251">
        <v>192</v>
      </c>
      <c r="B13" s="56" t="s">
        <v>33</v>
      </c>
      <c r="C13" s="19" t="s">
        <v>175</v>
      </c>
      <c r="D13" s="248" t="s">
        <v>16</v>
      </c>
      <c r="E13" s="51">
        <v>45471</v>
      </c>
      <c r="F13" s="26">
        <v>141</v>
      </c>
      <c r="G13" s="49"/>
      <c r="H13" s="49"/>
      <c r="I13" s="19">
        <f t="shared" si="0"/>
        <v>141</v>
      </c>
      <c r="J13" s="49"/>
      <c r="K13" s="49"/>
      <c r="L13" s="26"/>
      <c r="M13" s="26"/>
      <c r="N13" s="3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90E2C-8849-49D7-B97D-BDCCFADFFBA5}">
  <sheetPr>
    <tabColor rgb="FFFF0000"/>
  </sheetPr>
  <dimension ref="A1:O45"/>
  <sheetViews>
    <sheetView workbookViewId="0">
      <selection activeCell="C25" sqref="C25"/>
    </sheetView>
  </sheetViews>
  <sheetFormatPr defaultColWidth="9.140625" defaultRowHeight="15" x14ac:dyDescent="0.25"/>
  <cols>
    <col min="1" max="1" width="22.42578125" customWidth="1"/>
    <col min="2" max="2" width="21.42578125" customWidth="1"/>
    <col min="3" max="3" width="28" customWidth="1"/>
    <col min="4" max="4" width="21.140625" customWidth="1"/>
    <col min="5" max="5" width="12.140625" customWidth="1"/>
    <col min="6" max="6" width="14.42578125" customWidth="1"/>
    <col min="7" max="7" width="12.42578125" bestFit="1" customWidth="1"/>
    <col min="8" max="8" width="10.42578125" customWidth="1"/>
    <col min="9" max="9" width="13.42578125" customWidth="1"/>
    <col min="10" max="10" width="18.42578125" customWidth="1"/>
    <col min="11" max="11" width="13.42578125" customWidth="1"/>
    <col min="12" max="12" width="42.85546875" customWidth="1"/>
    <col min="13" max="13" width="15.42578125" customWidth="1"/>
    <col min="14" max="14" width="12.42578125" customWidth="1"/>
    <col min="15" max="15" width="26.42578125" customWidth="1"/>
  </cols>
  <sheetData>
    <row r="1" spans="1:15" s="254" customFormat="1" x14ac:dyDescent="0.25">
      <c r="A1" s="210" t="s">
        <v>370</v>
      </c>
      <c r="B1" s="210" t="s">
        <v>371</v>
      </c>
      <c r="C1" s="210"/>
      <c r="D1" s="210"/>
      <c r="E1" s="210"/>
      <c r="F1" s="256">
        <v>45719</v>
      </c>
      <c r="G1" s="210">
        <v>13</v>
      </c>
      <c r="H1" s="210"/>
      <c r="I1" s="210"/>
      <c r="J1" s="210">
        <f>G1</f>
        <v>13</v>
      </c>
      <c r="K1" s="210"/>
      <c r="L1" s="210" t="s">
        <v>372</v>
      </c>
      <c r="M1" s="257"/>
      <c r="N1" s="258"/>
      <c r="O1" s="250"/>
    </row>
    <row r="2" spans="1:15" s="202" customFormat="1" x14ac:dyDescent="0.25">
      <c r="A2" s="203" t="s">
        <v>578</v>
      </c>
      <c r="B2" s="261" t="s">
        <v>578</v>
      </c>
      <c r="C2" s="206" t="s">
        <v>373</v>
      </c>
      <c r="D2" s="203" t="s">
        <v>578</v>
      </c>
      <c r="E2" s="203" t="s">
        <v>578</v>
      </c>
      <c r="F2" s="204" t="s">
        <v>578</v>
      </c>
      <c r="G2" s="203">
        <v>1</v>
      </c>
      <c r="H2" s="203"/>
      <c r="I2" s="203"/>
      <c r="J2" s="203">
        <f t="shared" ref="J2:J24" si="0">G2</f>
        <v>1</v>
      </c>
      <c r="K2" s="203"/>
      <c r="L2" s="203" t="s">
        <v>374</v>
      </c>
      <c r="M2" s="205"/>
      <c r="N2" s="28"/>
      <c r="O2" s="22"/>
    </row>
    <row r="3" spans="1:15" s="202" customFormat="1" x14ac:dyDescent="0.25">
      <c r="A3" s="203" t="s">
        <v>578</v>
      </c>
      <c r="B3" s="261" t="s">
        <v>578</v>
      </c>
      <c r="C3" s="206" t="s">
        <v>375</v>
      </c>
      <c r="D3" s="203" t="s">
        <v>578</v>
      </c>
      <c r="E3" s="203" t="s">
        <v>578</v>
      </c>
      <c r="F3" s="207" t="s">
        <v>578</v>
      </c>
      <c r="G3" s="203">
        <v>1</v>
      </c>
      <c r="H3" s="203"/>
      <c r="I3" s="203"/>
      <c r="J3" s="203">
        <f t="shared" si="0"/>
        <v>1</v>
      </c>
      <c r="K3" s="203"/>
      <c r="L3" s="203" t="s">
        <v>374</v>
      </c>
      <c r="M3" s="23"/>
      <c r="N3" s="22"/>
      <c r="O3" s="22"/>
    </row>
    <row r="4" spans="1:15" s="202" customFormat="1" x14ac:dyDescent="0.25">
      <c r="A4" s="203" t="s">
        <v>578</v>
      </c>
      <c r="B4" s="259" t="s">
        <v>432</v>
      </c>
      <c r="C4" s="203" t="s">
        <v>578</v>
      </c>
      <c r="D4" s="203" t="s">
        <v>578</v>
      </c>
      <c r="E4" s="203" t="s">
        <v>578</v>
      </c>
      <c r="F4" s="207" t="s">
        <v>578</v>
      </c>
      <c r="G4" s="203">
        <v>1</v>
      </c>
      <c r="H4" s="203"/>
      <c r="I4" s="203"/>
      <c r="J4" s="203">
        <f t="shared" si="0"/>
        <v>1</v>
      </c>
      <c r="K4" s="203"/>
      <c r="L4" s="203"/>
      <c r="M4" s="23"/>
      <c r="N4" s="22"/>
      <c r="O4" s="22"/>
    </row>
    <row r="5" spans="1:15" s="202" customFormat="1" x14ac:dyDescent="0.25">
      <c r="A5" s="203" t="s">
        <v>578</v>
      </c>
      <c r="B5" s="259" t="s">
        <v>433</v>
      </c>
      <c r="C5" s="203" t="s">
        <v>578</v>
      </c>
      <c r="D5" s="203" t="s">
        <v>578</v>
      </c>
      <c r="E5" s="203" t="s">
        <v>578</v>
      </c>
      <c r="F5" s="207" t="s">
        <v>376</v>
      </c>
      <c r="G5" s="203">
        <v>3</v>
      </c>
      <c r="H5" s="203"/>
      <c r="I5" s="203"/>
      <c r="J5" s="203">
        <f t="shared" si="0"/>
        <v>3</v>
      </c>
      <c r="K5" s="203"/>
      <c r="L5" s="203"/>
      <c r="M5" s="23"/>
      <c r="N5" s="22"/>
      <c r="O5" s="22"/>
    </row>
    <row r="6" spans="1:15" s="202" customFormat="1" x14ac:dyDescent="0.25">
      <c r="A6" s="203" t="s">
        <v>578</v>
      </c>
      <c r="B6" s="259" t="s">
        <v>433</v>
      </c>
      <c r="C6" s="203" t="s">
        <v>578</v>
      </c>
      <c r="D6" s="203" t="s">
        <v>578</v>
      </c>
      <c r="E6" s="203" t="s">
        <v>578</v>
      </c>
      <c r="F6" s="207" t="s">
        <v>377</v>
      </c>
      <c r="G6" s="203">
        <v>2</v>
      </c>
      <c r="H6" s="203"/>
      <c r="I6" s="203"/>
      <c r="J6" s="203">
        <f t="shared" si="0"/>
        <v>2</v>
      </c>
      <c r="K6" s="203"/>
      <c r="L6" s="203"/>
      <c r="M6" s="22"/>
      <c r="N6" s="22"/>
      <c r="O6" s="22"/>
    </row>
    <row r="7" spans="1:15" s="202" customFormat="1" x14ac:dyDescent="0.25">
      <c r="A7" s="203" t="s">
        <v>578</v>
      </c>
      <c r="B7" s="259" t="s">
        <v>434</v>
      </c>
      <c r="C7" s="203" t="s">
        <v>578</v>
      </c>
      <c r="D7" s="203" t="s">
        <v>578</v>
      </c>
      <c r="E7" s="203" t="s">
        <v>578</v>
      </c>
      <c r="F7" s="207" t="s">
        <v>578</v>
      </c>
      <c r="G7" s="203">
        <v>3</v>
      </c>
      <c r="H7" s="203"/>
      <c r="I7" s="203"/>
      <c r="J7" s="203">
        <f t="shared" si="0"/>
        <v>3</v>
      </c>
      <c r="K7" s="203"/>
      <c r="L7" s="203"/>
      <c r="M7" s="22"/>
      <c r="N7" s="22"/>
      <c r="O7" s="22"/>
    </row>
    <row r="8" spans="1:15" s="202" customFormat="1" x14ac:dyDescent="0.25">
      <c r="A8" s="208" t="s">
        <v>578</v>
      </c>
      <c r="B8" s="259" t="s">
        <v>435</v>
      </c>
      <c r="C8" s="208" t="s">
        <v>578</v>
      </c>
      <c r="D8" s="203" t="s">
        <v>578</v>
      </c>
      <c r="E8" s="203" t="s">
        <v>578</v>
      </c>
      <c r="F8" s="209" t="s">
        <v>578</v>
      </c>
      <c r="G8" s="203">
        <v>6</v>
      </c>
      <c r="H8" s="203"/>
      <c r="I8" s="203"/>
      <c r="J8" s="203">
        <f t="shared" si="0"/>
        <v>6</v>
      </c>
      <c r="K8" s="203"/>
      <c r="L8" s="203"/>
      <c r="M8" s="23"/>
      <c r="N8" s="22"/>
      <c r="O8" s="22"/>
    </row>
    <row r="9" spans="1:15" s="202" customFormat="1" x14ac:dyDescent="0.25">
      <c r="A9" s="203" t="s">
        <v>578</v>
      </c>
      <c r="B9" s="259" t="s">
        <v>435</v>
      </c>
      <c r="C9" s="203" t="s">
        <v>378</v>
      </c>
      <c r="D9" s="203" t="s">
        <v>578</v>
      </c>
      <c r="E9" s="203" t="s">
        <v>578</v>
      </c>
      <c r="F9" s="207" t="s">
        <v>578</v>
      </c>
      <c r="G9" s="203">
        <v>1</v>
      </c>
      <c r="H9" s="203"/>
      <c r="I9" s="203"/>
      <c r="J9" s="203">
        <f t="shared" si="0"/>
        <v>1</v>
      </c>
      <c r="K9" s="203"/>
      <c r="L9" s="203"/>
      <c r="M9" s="23"/>
      <c r="N9" s="22"/>
      <c r="O9" s="22"/>
    </row>
    <row r="10" spans="1:15" s="254" customFormat="1" x14ac:dyDescent="0.25">
      <c r="A10" s="210">
        <v>10781</v>
      </c>
      <c r="B10" s="210" t="s">
        <v>371</v>
      </c>
      <c r="C10" s="210"/>
      <c r="D10" s="210"/>
      <c r="E10" s="210"/>
      <c r="F10" s="252"/>
      <c r="G10" s="210">
        <v>4</v>
      </c>
      <c r="H10" s="210"/>
      <c r="I10" s="210"/>
      <c r="J10" s="210">
        <f t="shared" si="0"/>
        <v>4</v>
      </c>
      <c r="K10" s="210"/>
      <c r="L10" s="210" t="s">
        <v>379</v>
      </c>
      <c r="M10" s="253"/>
      <c r="N10" s="250"/>
      <c r="O10" s="250"/>
    </row>
    <row r="11" spans="1:15" s="254" customFormat="1" x14ac:dyDescent="0.25">
      <c r="A11" s="210" t="s">
        <v>380</v>
      </c>
      <c r="B11" s="210" t="s">
        <v>381</v>
      </c>
      <c r="C11" s="210" t="s">
        <v>382</v>
      </c>
      <c r="D11" s="210" t="s">
        <v>383</v>
      </c>
      <c r="E11" s="210"/>
      <c r="F11" s="252" t="s">
        <v>384</v>
      </c>
      <c r="G11" s="210">
        <v>11</v>
      </c>
      <c r="H11" s="210"/>
      <c r="I11" s="210"/>
      <c r="J11" s="210">
        <f t="shared" si="0"/>
        <v>11</v>
      </c>
      <c r="K11" s="210"/>
      <c r="L11" s="210" t="s">
        <v>385</v>
      </c>
      <c r="M11" s="253"/>
      <c r="N11" s="250"/>
      <c r="O11" s="250"/>
    </row>
    <row r="12" spans="1:15" s="254" customFormat="1" x14ac:dyDescent="0.25">
      <c r="A12" s="210"/>
      <c r="B12" s="210" t="s">
        <v>288</v>
      </c>
      <c r="C12" s="210"/>
      <c r="D12" s="210"/>
      <c r="E12" s="210"/>
      <c r="F12" s="252"/>
      <c r="G12" s="210">
        <v>4</v>
      </c>
      <c r="H12" s="210"/>
      <c r="I12" s="210"/>
      <c r="J12" s="210">
        <f t="shared" si="0"/>
        <v>4</v>
      </c>
      <c r="K12" s="210"/>
      <c r="L12" s="210"/>
      <c r="M12" s="253"/>
      <c r="N12" s="250"/>
      <c r="O12" s="250"/>
    </row>
    <row r="13" spans="1:15" s="254" customFormat="1" x14ac:dyDescent="0.25">
      <c r="A13" s="210"/>
      <c r="B13" s="210" t="s">
        <v>293</v>
      </c>
      <c r="C13" s="210"/>
      <c r="D13" s="210"/>
      <c r="E13" s="210"/>
      <c r="F13" s="252"/>
      <c r="G13" s="210">
        <v>1</v>
      </c>
      <c r="H13" s="210"/>
      <c r="I13" s="210"/>
      <c r="J13" s="210">
        <f t="shared" si="0"/>
        <v>1</v>
      </c>
      <c r="K13" s="210"/>
      <c r="L13" s="210"/>
      <c r="M13" s="253"/>
      <c r="N13" s="250"/>
      <c r="O13" s="250"/>
    </row>
    <row r="14" spans="1:15" s="254" customFormat="1" ht="16.5" customHeight="1" x14ac:dyDescent="0.25">
      <c r="A14" s="210"/>
      <c r="B14" s="210" t="s">
        <v>386</v>
      </c>
      <c r="C14" s="210"/>
      <c r="D14" s="210"/>
      <c r="E14" s="210"/>
      <c r="F14" s="252"/>
      <c r="G14" s="210">
        <v>4</v>
      </c>
      <c r="H14" s="210"/>
      <c r="I14" s="210"/>
      <c r="J14" s="210">
        <f t="shared" si="0"/>
        <v>4</v>
      </c>
      <c r="K14" s="210"/>
      <c r="L14" s="210"/>
      <c r="M14" s="253"/>
      <c r="N14" s="250"/>
      <c r="O14" s="250"/>
    </row>
    <row r="15" spans="1:15" s="254" customFormat="1" x14ac:dyDescent="0.25">
      <c r="A15" s="210"/>
      <c r="B15" s="210" t="s">
        <v>387</v>
      </c>
      <c r="C15" s="210"/>
      <c r="D15" s="210"/>
      <c r="E15" s="210"/>
      <c r="F15" s="252"/>
      <c r="G15" s="210">
        <v>3</v>
      </c>
      <c r="H15" s="210"/>
      <c r="I15" s="210"/>
      <c r="J15" s="210">
        <f t="shared" si="0"/>
        <v>3</v>
      </c>
      <c r="K15" s="210" t="s">
        <v>436</v>
      </c>
      <c r="L15" s="210" t="s">
        <v>563</v>
      </c>
      <c r="M15" s="250"/>
      <c r="N15" s="250"/>
      <c r="O15" s="250"/>
    </row>
    <row r="16" spans="1:15" s="254" customFormat="1" x14ac:dyDescent="0.25">
      <c r="A16" s="210"/>
      <c r="B16" s="210" t="s">
        <v>388</v>
      </c>
      <c r="C16" s="210"/>
      <c r="D16" s="210"/>
      <c r="E16" s="210"/>
      <c r="F16" s="252"/>
      <c r="G16" s="210">
        <v>3</v>
      </c>
      <c r="H16" s="210"/>
      <c r="I16" s="210"/>
      <c r="J16" s="210">
        <f t="shared" si="0"/>
        <v>3</v>
      </c>
      <c r="K16" s="210" t="s">
        <v>436</v>
      </c>
      <c r="L16" s="210" t="s">
        <v>563</v>
      </c>
      <c r="M16" s="250"/>
      <c r="N16" s="250"/>
      <c r="O16" s="250"/>
    </row>
    <row r="17" spans="1:15" s="254" customFormat="1" x14ac:dyDescent="0.25">
      <c r="A17" s="210"/>
      <c r="B17" s="210" t="s">
        <v>389</v>
      </c>
      <c r="C17" s="210"/>
      <c r="D17" s="210"/>
      <c r="E17" s="210"/>
      <c r="F17" s="252"/>
      <c r="G17" s="210">
        <v>3</v>
      </c>
      <c r="H17" s="210"/>
      <c r="I17" s="210"/>
      <c r="J17" s="210">
        <f t="shared" si="0"/>
        <v>3</v>
      </c>
      <c r="K17" s="210" t="s">
        <v>436</v>
      </c>
      <c r="L17" s="210" t="s">
        <v>563</v>
      </c>
      <c r="M17" s="250"/>
      <c r="N17" s="250"/>
      <c r="O17" s="250"/>
    </row>
    <row r="18" spans="1:15" s="254" customFormat="1" x14ac:dyDescent="0.25">
      <c r="A18" s="210"/>
      <c r="B18" s="210" t="s">
        <v>390</v>
      </c>
      <c r="C18" s="210"/>
      <c r="D18" s="210"/>
      <c r="E18" s="210"/>
      <c r="F18" s="252"/>
      <c r="G18" s="210">
        <v>3</v>
      </c>
      <c r="H18" s="210"/>
      <c r="I18" s="210"/>
      <c r="J18" s="210">
        <f t="shared" si="0"/>
        <v>3</v>
      </c>
      <c r="K18" s="210"/>
      <c r="L18" s="210" t="s">
        <v>563</v>
      </c>
      <c r="M18" s="250"/>
      <c r="N18" s="250"/>
      <c r="O18" s="250"/>
    </row>
    <row r="19" spans="1:15" s="254" customFormat="1" ht="30" x14ac:dyDescent="0.25">
      <c r="A19" s="210"/>
      <c r="B19" s="210" t="s">
        <v>257</v>
      </c>
      <c r="C19" s="210"/>
      <c r="D19" s="210"/>
      <c r="E19" s="210"/>
      <c r="F19" s="252"/>
      <c r="G19" s="210">
        <v>5</v>
      </c>
      <c r="H19" s="210"/>
      <c r="I19" s="210"/>
      <c r="J19" s="210">
        <f t="shared" si="0"/>
        <v>5</v>
      </c>
      <c r="K19" s="210" t="s">
        <v>436</v>
      </c>
      <c r="L19" s="255" t="s">
        <v>566</v>
      </c>
      <c r="M19" s="250"/>
      <c r="N19" s="250"/>
      <c r="O19" s="250"/>
    </row>
    <row r="20" spans="1:15" s="254" customFormat="1" x14ac:dyDescent="0.25">
      <c r="A20" s="210"/>
      <c r="B20" s="210" t="s">
        <v>325</v>
      </c>
      <c r="C20" s="210"/>
      <c r="D20" s="210"/>
      <c r="E20" s="210"/>
      <c r="F20" s="256"/>
      <c r="G20" s="210">
        <v>3</v>
      </c>
      <c r="H20" s="210">
        <v>3</v>
      </c>
      <c r="I20" s="210"/>
      <c r="J20" s="210">
        <f>G20-H20</f>
        <v>0</v>
      </c>
      <c r="K20" s="210" t="s">
        <v>436</v>
      </c>
      <c r="L20" s="255" t="s">
        <v>351</v>
      </c>
      <c r="M20" s="250"/>
      <c r="N20" s="250"/>
      <c r="O20" s="250"/>
    </row>
    <row r="21" spans="1:15" s="254" customFormat="1" ht="30" x14ac:dyDescent="0.25">
      <c r="A21" s="210"/>
      <c r="B21" s="210" t="s">
        <v>321</v>
      </c>
      <c r="C21" s="210"/>
      <c r="D21" s="210"/>
      <c r="E21" s="210"/>
      <c r="F21" s="256"/>
      <c r="G21" s="210">
        <v>3</v>
      </c>
      <c r="H21" s="210">
        <v>3</v>
      </c>
      <c r="I21" s="210"/>
      <c r="J21" s="210">
        <f>G21-H21</f>
        <v>0</v>
      </c>
      <c r="K21" s="210" t="s">
        <v>436</v>
      </c>
      <c r="L21" s="255" t="s">
        <v>565</v>
      </c>
      <c r="M21" s="250"/>
      <c r="N21" s="250"/>
      <c r="O21" s="250"/>
    </row>
    <row r="22" spans="1:15" s="254" customFormat="1" ht="30" x14ac:dyDescent="0.25">
      <c r="A22" s="210"/>
      <c r="B22" s="210" t="s">
        <v>318</v>
      </c>
      <c r="C22" s="210"/>
      <c r="D22" s="210"/>
      <c r="E22" s="210"/>
      <c r="F22" s="256"/>
      <c r="G22" s="210">
        <v>3</v>
      </c>
      <c r="H22" s="210"/>
      <c r="I22" s="210"/>
      <c r="J22" s="210">
        <f t="shared" si="0"/>
        <v>3</v>
      </c>
      <c r="K22" s="210" t="s">
        <v>436</v>
      </c>
      <c r="L22" s="255" t="s">
        <v>565</v>
      </c>
      <c r="M22" s="250"/>
      <c r="N22" s="250"/>
      <c r="O22" s="250"/>
    </row>
    <row r="23" spans="1:15" s="254" customFormat="1" ht="30" x14ac:dyDescent="0.25">
      <c r="A23" s="210"/>
      <c r="B23" s="210" t="s">
        <v>250</v>
      </c>
      <c r="C23" s="210"/>
      <c r="D23" s="210"/>
      <c r="E23" s="210"/>
      <c r="F23" s="256"/>
      <c r="G23" s="210">
        <v>4</v>
      </c>
      <c r="H23" s="210"/>
      <c r="I23" s="210"/>
      <c r="J23" s="210">
        <f t="shared" si="0"/>
        <v>4</v>
      </c>
      <c r="K23" s="210" t="s">
        <v>436</v>
      </c>
      <c r="L23" s="255" t="s">
        <v>564</v>
      </c>
      <c r="M23" s="250"/>
      <c r="N23" s="250"/>
      <c r="O23" s="250"/>
    </row>
    <row r="24" spans="1:15" s="254" customFormat="1" x14ac:dyDescent="0.25">
      <c r="A24" s="210">
        <v>66</v>
      </c>
      <c r="B24" s="210" t="s">
        <v>253</v>
      </c>
      <c r="C24" s="210"/>
      <c r="D24" s="210"/>
      <c r="E24" s="210"/>
      <c r="F24" s="256"/>
      <c r="G24" s="210">
        <v>1</v>
      </c>
      <c r="H24" s="210"/>
      <c r="I24" s="210"/>
      <c r="J24" s="210">
        <f t="shared" si="0"/>
        <v>1</v>
      </c>
      <c r="K24" s="210" t="s">
        <v>436</v>
      </c>
      <c r="L24" s="255" t="s">
        <v>351</v>
      </c>
      <c r="M24" s="250"/>
      <c r="N24" s="250"/>
      <c r="O24" s="250"/>
    </row>
    <row r="25" spans="1:15" s="202" customFormat="1" ht="40.35" customHeight="1" x14ac:dyDescent="0.25">
      <c r="A25" s="203" t="s">
        <v>578</v>
      </c>
      <c r="B25" s="261" t="s">
        <v>438</v>
      </c>
      <c r="C25" s="203" t="s">
        <v>578</v>
      </c>
      <c r="D25" s="203" t="s">
        <v>578</v>
      </c>
      <c r="E25" s="203" t="s">
        <v>578</v>
      </c>
      <c r="F25" s="204" t="s">
        <v>578</v>
      </c>
      <c r="G25" s="203">
        <v>5</v>
      </c>
      <c r="H25" s="203"/>
      <c r="I25" s="203"/>
      <c r="J25" s="203">
        <f>G25</f>
        <v>5</v>
      </c>
      <c r="K25" s="203"/>
      <c r="L25" s="212" t="s">
        <v>580</v>
      </c>
      <c r="M25" s="22"/>
      <c r="N25" s="22"/>
      <c r="O25" s="22"/>
    </row>
    <row r="26" spans="1:15" s="202" customFormat="1" ht="45" x14ac:dyDescent="0.25">
      <c r="A26" s="203" t="s">
        <v>578</v>
      </c>
      <c r="B26" s="261" t="s">
        <v>439</v>
      </c>
      <c r="C26" s="203" t="s">
        <v>578</v>
      </c>
      <c r="D26" s="203" t="s">
        <v>578</v>
      </c>
      <c r="E26" s="203" t="s">
        <v>578</v>
      </c>
      <c r="F26" s="204" t="s">
        <v>578</v>
      </c>
      <c r="G26" s="203">
        <v>9</v>
      </c>
      <c r="H26" s="203"/>
      <c r="I26" s="203"/>
      <c r="J26" s="203">
        <f t="shared" ref="J26:J36" si="1">G26</f>
        <v>9</v>
      </c>
      <c r="K26" s="203"/>
      <c r="L26" s="212" t="s">
        <v>440</v>
      </c>
      <c r="M26" s="22"/>
      <c r="N26" s="22"/>
      <c r="O26" s="22"/>
    </row>
    <row r="27" spans="1:15" s="202" customFormat="1" x14ac:dyDescent="0.25">
      <c r="A27" s="203"/>
      <c r="B27" s="261" t="s">
        <v>441</v>
      </c>
      <c r="C27" s="203" t="s">
        <v>578</v>
      </c>
      <c r="D27" s="203" t="s">
        <v>578</v>
      </c>
      <c r="E27" s="203" t="s">
        <v>578</v>
      </c>
      <c r="F27" s="204" t="s">
        <v>578</v>
      </c>
      <c r="G27" s="203">
        <v>1</v>
      </c>
      <c r="H27" s="203"/>
      <c r="I27" s="203"/>
      <c r="J27" s="203">
        <f t="shared" si="1"/>
        <v>1</v>
      </c>
      <c r="K27" s="203"/>
      <c r="L27" s="203" t="s">
        <v>442</v>
      </c>
      <c r="M27" s="22"/>
      <c r="N27" s="22"/>
      <c r="O27" s="22"/>
    </row>
    <row r="28" spans="1:15" s="254" customFormat="1" x14ac:dyDescent="0.25">
      <c r="A28" s="210">
        <v>10933</v>
      </c>
      <c r="B28" s="210" t="s">
        <v>444</v>
      </c>
      <c r="C28" s="210"/>
      <c r="D28" s="210"/>
      <c r="E28" s="210"/>
      <c r="F28" s="256">
        <v>45750</v>
      </c>
      <c r="G28" s="210">
        <v>29</v>
      </c>
      <c r="H28" s="210"/>
      <c r="I28" s="210"/>
      <c r="J28" s="210">
        <f t="shared" si="1"/>
        <v>29</v>
      </c>
      <c r="K28" s="210"/>
      <c r="L28" s="255" t="s">
        <v>445</v>
      </c>
      <c r="M28" s="250"/>
      <c r="N28" s="250"/>
      <c r="O28" s="250"/>
    </row>
    <row r="29" spans="1:15" s="254" customFormat="1" x14ac:dyDescent="0.25">
      <c r="A29" s="210">
        <v>10933</v>
      </c>
      <c r="B29" s="210" t="s">
        <v>446</v>
      </c>
      <c r="C29" s="210"/>
      <c r="D29" s="210"/>
      <c r="E29" s="210"/>
      <c r="F29" s="256">
        <v>45750</v>
      </c>
      <c r="G29" s="210">
        <v>29</v>
      </c>
      <c r="H29" s="210"/>
      <c r="I29" s="210"/>
      <c r="J29" s="210">
        <f t="shared" si="1"/>
        <v>29</v>
      </c>
      <c r="K29" s="210"/>
      <c r="L29" s="255" t="s">
        <v>447</v>
      </c>
      <c r="M29" s="250"/>
      <c r="N29" s="250"/>
      <c r="O29" s="250"/>
    </row>
    <row r="30" spans="1:15" s="254" customFormat="1" x14ac:dyDescent="0.25">
      <c r="A30" s="250" t="s">
        <v>399</v>
      </c>
      <c r="B30" s="250" t="s">
        <v>400</v>
      </c>
      <c r="C30" s="210"/>
      <c r="D30" s="210"/>
      <c r="E30" s="210"/>
      <c r="F30" s="256"/>
      <c r="G30" s="250">
        <v>30</v>
      </c>
      <c r="H30" s="210"/>
      <c r="I30" s="210"/>
      <c r="J30" s="210">
        <f>G30-N94</f>
        <v>30</v>
      </c>
      <c r="K30" s="210"/>
      <c r="L30" s="250" t="s">
        <v>401</v>
      </c>
      <c r="M30" s="253"/>
      <c r="N30" s="250"/>
      <c r="O30" s="250"/>
    </row>
    <row r="31" spans="1:15" s="254" customFormat="1" x14ac:dyDescent="0.25">
      <c r="A31" s="250" t="s">
        <v>402</v>
      </c>
      <c r="B31" s="250" t="s">
        <v>400</v>
      </c>
      <c r="C31" s="210"/>
      <c r="D31" s="210"/>
      <c r="E31" s="210"/>
      <c r="F31" s="256"/>
      <c r="G31" s="250">
        <v>37</v>
      </c>
      <c r="H31" s="210"/>
      <c r="I31" s="210"/>
      <c r="J31" s="210">
        <f t="shared" si="1"/>
        <v>37</v>
      </c>
      <c r="K31" s="210"/>
      <c r="L31" s="210"/>
      <c r="M31" s="253"/>
      <c r="N31" s="250"/>
      <c r="O31" s="250"/>
    </row>
    <row r="32" spans="1:15" s="254" customFormat="1" x14ac:dyDescent="0.25">
      <c r="A32" s="250" t="s">
        <v>404</v>
      </c>
      <c r="B32" s="250" t="s">
        <v>400</v>
      </c>
      <c r="C32" s="210"/>
      <c r="D32" s="210"/>
      <c r="E32" s="210"/>
      <c r="F32" s="256"/>
      <c r="G32" s="210">
        <v>1</v>
      </c>
      <c r="H32" s="210"/>
      <c r="I32" s="210"/>
      <c r="J32" s="210">
        <f t="shared" si="1"/>
        <v>1</v>
      </c>
      <c r="K32" s="210"/>
      <c r="L32" s="210"/>
      <c r="M32" s="253"/>
      <c r="N32" s="250"/>
      <c r="O32" s="250"/>
    </row>
    <row r="33" spans="1:15" s="254" customFormat="1" x14ac:dyDescent="0.25">
      <c r="A33" s="250" t="s">
        <v>405</v>
      </c>
      <c r="B33" s="250" t="s">
        <v>406</v>
      </c>
      <c r="C33" s="210"/>
      <c r="D33" s="210"/>
      <c r="E33" s="210"/>
      <c r="F33" s="256"/>
      <c r="G33" s="210">
        <v>1</v>
      </c>
      <c r="H33" s="210"/>
      <c r="I33" s="210"/>
      <c r="J33" s="210">
        <f t="shared" si="1"/>
        <v>1</v>
      </c>
      <c r="K33" s="210"/>
      <c r="L33" s="210"/>
      <c r="M33" s="253"/>
      <c r="N33" s="250"/>
      <c r="O33" s="250"/>
    </row>
    <row r="34" spans="1:15" s="254" customFormat="1" x14ac:dyDescent="0.25">
      <c r="A34" s="250" t="s">
        <v>408</v>
      </c>
      <c r="B34" s="250" t="s">
        <v>448</v>
      </c>
      <c r="C34" s="210" t="s">
        <v>539</v>
      </c>
      <c r="D34" s="210"/>
      <c r="E34" s="210"/>
      <c r="F34" s="256"/>
      <c r="G34" s="210">
        <v>2</v>
      </c>
      <c r="H34" s="210"/>
      <c r="I34" s="210"/>
      <c r="J34" s="210">
        <f t="shared" si="1"/>
        <v>2</v>
      </c>
      <c r="K34" s="210"/>
      <c r="L34" s="210"/>
      <c r="M34" s="250"/>
      <c r="N34" s="250"/>
      <c r="O34" s="250"/>
    </row>
    <row r="35" spans="1:15" s="254" customFormat="1" x14ac:dyDescent="0.25">
      <c r="A35" s="210"/>
      <c r="B35" s="250" t="s">
        <v>449</v>
      </c>
      <c r="C35" s="210" t="s">
        <v>450</v>
      </c>
      <c r="D35" s="210"/>
      <c r="E35" s="210"/>
      <c r="F35" s="256"/>
      <c r="G35" s="250">
        <v>20</v>
      </c>
      <c r="H35" s="210"/>
      <c r="I35" s="210"/>
      <c r="J35" s="210">
        <f t="shared" si="1"/>
        <v>20</v>
      </c>
      <c r="K35" s="210"/>
      <c r="L35" s="210"/>
      <c r="M35" s="250"/>
      <c r="N35" s="250"/>
      <c r="O35" s="250"/>
    </row>
    <row r="36" spans="1:15" s="254" customFormat="1" x14ac:dyDescent="0.25">
      <c r="A36" s="210"/>
      <c r="B36" s="250" t="s">
        <v>300</v>
      </c>
      <c r="C36" s="210"/>
      <c r="D36" s="210"/>
      <c r="E36" s="210"/>
      <c r="F36" s="256"/>
      <c r="G36" s="250">
        <v>48</v>
      </c>
      <c r="H36" s="210"/>
      <c r="I36" s="210"/>
      <c r="J36" s="210">
        <f t="shared" si="1"/>
        <v>48</v>
      </c>
      <c r="K36" s="210"/>
      <c r="L36" s="210" t="s">
        <v>451</v>
      </c>
      <c r="M36" s="250"/>
      <c r="N36" s="250"/>
      <c r="O36" s="250"/>
    </row>
    <row r="37" spans="1:15" s="202" customFormat="1" x14ac:dyDescent="0.25">
      <c r="A37" s="206" t="s">
        <v>410</v>
      </c>
      <c r="B37" s="259" t="s">
        <v>441</v>
      </c>
      <c r="C37" s="203" t="s">
        <v>578</v>
      </c>
      <c r="D37" s="203" t="s">
        <v>578</v>
      </c>
      <c r="E37" s="203" t="s">
        <v>578</v>
      </c>
      <c r="F37" s="204">
        <v>44871</v>
      </c>
      <c r="G37" s="203">
        <v>2</v>
      </c>
      <c r="H37" s="203">
        <v>2</v>
      </c>
      <c r="I37" s="203"/>
      <c r="J37" s="203">
        <f>G37-H37</f>
        <v>0</v>
      </c>
      <c r="K37" s="203"/>
      <c r="L37" s="203" t="s">
        <v>606</v>
      </c>
      <c r="M37" s="22"/>
      <c r="N37" s="22"/>
      <c r="O37" s="22"/>
    </row>
    <row r="38" spans="1:15" s="202" customFormat="1" x14ac:dyDescent="0.25">
      <c r="A38" s="206" t="s">
        <v>413</v>
      </c>
      <c r="B38" s="259" t="s">
        <v>438</v>
      </c>
      <c r="C38" s="203" t="s">
        <v>609</v>
      </c>
      <c r="D38" s="203" t="s">
        <v>578</v>
      </c>
      <c r="E38" s="203" t="s">
        <v>605</v>
      </c>
      <c r="F38" s="204">
        <v>45324</v>
      </c>
      <c r="G38" s="206">
        <v>2</v>
      </c>
      <c r="H38" s="203"/>
      <c r="I38" s="203"/>
      <c r="J38" s="203">
        <f t="shared" ref="J38:J40" si="2">G38</f>
        <v>2</v>
      </c>
      <c r="K38" s="203"/>
      <c r="L38" s="203"/>
      <c r="M38" s="22"/>
      <c r="N38" s="22"/>
      <c r="O38" s="22"/>
    </row>
    <row r="39" spans="1:15" s="254" customFormat="1" x14ac:dyDescent="0.25">
      <c r="A39" s="250">
        <v>6711</v>
      </c>
      <c r="B39" s="250" t="s">
        <v>459</v>
      </c>
      <c r="C39" s="210" t="s">
        <v>541</v>
      </c>
      <c r="D39" s="210"/>
      <c r="E39" s="210"/>
      <c r="F39" s="256"/>
      <c r="G39" s="250">
        <v>8</v>
      </c>
      <c r="H39" s="210"/>
      <c r="I39" s="210"/>
      <c r="J39" s="210">
        <f t="shared" si="2"/>
        <v>8</v>
      </c>
      <c r="K39" s="210"/>
      <c r="L39" s="210"/>
      <c r="M39" s="250"/>
      <c r="N39" s="250"/>
      <c r="O39" s="250"/>
    </row>
    <row r="40" spans="1:15" s="254" customFormat="1" x14ac:dyDescent="0.25">
      <c r="A40" s="250">
        <v>6709</v>
      </c>
      <c r="B40" s="250" t="s">
        <v>253</v>
      </c>
      <c r="C40" s="210" t="s">
        <v>541</v>
      </c>
      <c r="D40" s="210"/>
      <c r="E40" s="210"/>
      <c r="F40" s="256"/>
      <c r="G40" s="210">
        <v>5</v>
      </c>
      <c r="H40" s="210"/>
      <c r="I40" s="210"/>
      <c r="J40" s="210">
        <f t="shared" si="2"/>
        <v>5</v>
      </c>
      <c r="K40" s="210"/>
      <c r="L40" s="210"/>
      <c r="M40" s="250"/>
      <c r="N40" s="250"/>
      <c r="O40" s="250"/>
    </row>
    <row r="41" spans="1:15" s="202" customFormat="1" ht="45" x14ac:dyDescent="0.25">
      <c r="A41" s="206" t="s">
        <v>623</v>
      </c>
      <c r="B41" s="259" t="s">
        <v>463</v>
      </c>
      <c r="C41" s="203" t="s">
        <v>537</v>
      </c>
      <c r="D41" s="203" t="s">
        <v>578</v>
      </c>
      <c r="E41" s="203" t="s">
        <v>578</v>
      </c>
      <c r="F41" s="204">
        <v>45723</v>
      </c>
      <c r="G41" s="203">
        <v>10</v>
      </c>
      <c r="H41" s="203"/>
      <c r="I41" s="203">
        <v>1</v>
      </c>
      <c r="J41" s="203">
        <f>G41-N82</f>
        <v>10</v>
      </c>
      <c r="K41" s="203"/>
      <c r="L41" s="211" t="s">
        <v>624</v>
      </c>
      <c r="M41" s="22"/>
      <c r="N41" s="22"/>
      <c r="O41" s="22"/>
    </row>
    <row r="42" spans="1:15" s="202" customFormat="1" x14ac:dyDescent="0.25">
      <c r="A42" s="206" t="s">
        <v>462</v>
      </c>
      <c r="B42" s="259" t="s">
        <v>463</v>
      </c>
      <c r="C42" s="203" t="s">
        <v>537</v>
      </c>
      <c r="D42" s="203" t="s">
        <v>578</v>
      </c>
      <c r="E42" s="203" t="s">
        <v>578</v>
      </c>
      <c r="F42" s="204">
        <v>45743</v>
      </c>
      <c r="G42" s="203">
        <v>8</v>
      </c>
      <c r="H42" s="203"/>
      <c r="I42" s="203"/>
      <c r="J42" s="203">
        <f t="shared" ref="J42" si="3">G42</f>
        <v>8</v>
      </c>
      <c r="K42" s="216"/>
      <c r="L42" s="216" t="s">
        <v>464</v>
      </c>
      <c r="M42" s="41"/>
      <c r="N42" s="41"/>
      <c r="O42" s="41"/>
    </row>
    <row r="43" spans="1:15" s="202" customFormat="1" x14ac:dyDescent="0.25">
      <c r="A43" s="217" t="s">
        <v>465</v>
      </c>
      <c r="B43" s="260" t="s">
        <v>463</v>
      </c>
      <c r="C43" s="216"/>
      <c r="D43" s="216"/>
      <c r="E43" s="216"/>
      <c r="F43" s="218"/>
      <c r="G43" s="216">
        <v>12</v>
      </c>
      <c r="H43" s="216"/>
      <c r="I43" s="216"/>
      <c r="J43" s="203">
        <f>G43-12</f>
        <v>0</v>
      </c>
      <c r="K43" s="203"/>
      <c r="L43" s="203" t="s">
        <v>573</v>
      </c>
      <c r="M43" s="22"/>
      <c r="N43" s="22"/>
      <c r="O43" s="22"/>
    </row>
    <row r="44" spans="1:15" s="203" customFormat="1" x14ac:dyDescent="0.25">
      <c r="A44" s="206" t="s">
        <v>535</v>
      </c>
      <c r="B44" s="259" t="s">
        <v>536</v>
      </c>
      <c r="C44" s="203" t="s">
        <v>537</v>
      </c>
      <c r="D44" s="203" t="s">
        <v>578</v>
      </c>
      <c r="E44" s="203" t="s">
        <v>656</v>
      </c>
      <c r="F44" s="204">
        <v>45812</v>
      </c>
      <c r="G44" s="206">
        <v>4</v>
      </c>
      <c r="J44" s="203">
        <f>G44</f>
        <v>4</v>
      </c>
      <c r="M44" s="22"/>
      <c r="N44" s="22"/>
      <c r="O44" s="22"/>
    </row>
    <row r="45" spans="1:15" s="203" customFormat="1" x14ac:dyDescent="0.25">
      <c r="A45" s="206" t="s">
        <v>465</v>
      </c>
      <c r="B45" s="259" t="s">
        <v>463</v>
      </c>
      <c r="C45" s="203" t="s">
        <v>537</v>
      </c>
      <c r="D45" s="203" t="s">
        <v>578</v>
      </c>
      <c r="E45" s="203" t="s">
        <v>657</v>
      </c>
      <c r="F45" s="204">
        <v>45853</v>
      </c>
      <c r="G45" s="206">
        <v>13</v>
      </c>
      <c r="J45" s="203">
        <f>G45</f>
        <v>13</v>
      </c>
      <c r="L45" s="203" t="s">
        <v>658</v>
      </c>
      <c r="M45" s="22"/>
      <c r="N45" s="22"/>
      <c r="O45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</vt:i4>
      </vt:variant>
    </vt:vector>
  </HeadingPairs>
  <TitlesOfParts>
    <vt:vector size="8" baseType="lpstr">
      <vt:lpstr>Микросхемы</vt:lpstr>
      <vt:lpstr>Модули</vt:lpstr>
      <vt:lpstr>ПП</vt:lpstr>
      <vt:lpstr>Склад марк_не марк</vt:lpstr>
      <vt:lpstr>Лист1</vt:lpstr>
      <vt:lpstr>Лист3</vt:lpstr>
      <vt:lpstr>Лист2</vt:lpstr>
      <vt:lpstr>'Склад марк_не марк'!Область_печати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Арина Смагина</dc:creator>
  <dc:description/>
  <cp:lastModifiedBy>Юрий Смагин</cp:lastModifiedBy>
  <cp:revision>229</cp:revision>
  <dcterms:created xsi:type="dcterms:W3CDTF">2023-03-06T21:21:46Z</dcterms:created>
  <dcterms:modified xsi:type="dcterms:W3CDTF">2025-12-18T08:35:23Z</dcterms:modified>
  <dc:language>en-US</dc:language>
</cp:coreProperties>
</file>